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bh\AppData\Roaming\Microsoft\AddIns\"/>
    </mc:Choice>
  </mc:AlternateContent>
  <xr:revisionPtr revIDLastSave="0" documentId="13_ncr:1_{B47773CF-9FE3-4B7A-A0FE-1269ADA38B18}" xr6:coauthVersionLast="36" xr6:coauthVersionMax="36" xr10:uidLastSave="{00000000-0000-0000-0000-000000000000}"/>
  <bookViews>
    <workbookView xWindow="0" yWindow="0" windowWidth="16410" windowHeight="7425" activeTab="2" xr2:uid="{00000000-000D-0000-FFFF-FFFF00000000}"/>
  </bookViews>
  <sheets>
    <sheet name="All_India_Index_Upto_April23 (1" sheetId="1" r:id="rId1"/>
    <sheet name="Cleaned data" sheetId="2" r:id="rId2"/>
    <sheet name="Category mapping" sheetId="3" r:id="rId3"/>
    <sheet name="broader category cont. Analysis" sheetId="4" r:id="rId4"/>
    <sheet name="Y-O-Y Analysis" sheetId="5" r:id="rId5"/>
    <sheet name="Food Trend Analysis" sheetId="6" r:id="rId6"/>
    <sheet name="COVID Impact Analysis" sheetId="7" r:id="rId7"/>
    <sheet name="Oil Price Analysis" sheetId="8" r:id="rId8"/>
  </sheets>
  <calcPr calcId="191029"/>
</workbook>
</file>

<file path=xl/calcChain.xml><?xml version="1.0" encoding="utf-8"?>
<calcChain xmlns="http://schemas.openxmlformats.org/spreadsheetml/2006/main">
  <c r="C3" i="8" l="1"/>
  <c r="C4" i="8"/>
  <c r="C5" i="8"/>
  <c r="D4" i="8" s="1"/>
  <c r="C6" i="8"/>
  <c r="D5" i="8" s="1"/>
  <c r="C7" i="8"/>
  <c r="C8" i="8"/>
  <c r="D7" i="8" s="1"/>
  <c r="C9" i="8"/>
  <c r="D8" i="8" s="1"/>
  <c r="C10" i="8"/>
  <c r="D9" i="8" s="1"/>
  <c r="C11" i="8"/>
  <c r="D10" i="8" s="1"/>
  <c r="C12" i="8"/>
  <c r="D11" i="8" s="1"/>
  <c r="C13" i="8"/>
  <c r="D12" i="8" s="1"/>
  <c r="C14" i="8"/>
  <c r="D13" i="8" s="1"/>
  <c r="C15" i="8"/>
  <c r="D14" i="8" s="1"/>
  <c r="C16" i="8"/>
  <c r="D15" i="8" s="1"/>
  <c r="C17" i="8"/>
  <c r="D16" i="8" s="1"/>
  <c r="C18" i="8"/>
  <c r="D17" i="8" s="1"/>
  <c r="C19" i="8"/>
  <c r="D18" i="8" s="1"/>
  <c r="C20" i="8"/>
  <c r="D19" i="8" s="1"/>
  <c r="C21" i="8"/>
  <c r="D20" i="8" s="1"/>
  <c r="C22" i="8"/>
  <c r="D21" i="8" s="1"/>
  <c r="C23" i="8"/>
  <c r="D22" i="8" s="1"/>
  <c r="C24" i="8"/>
  <c r="D23" i="8" s="1"/>
  <c r="C25" i="8"/>
  <c r="D24" i="8" s="1"/>
  <c r="C26" i="8"/>
  <c r="D25" i="8" s="1"/>
  <c r="C27" i="8"/>
  <c r="D26" i="8" s="1"/>
  <c r="C28" i="8"/>
  <c r="D27" i="8" s="1"/>
  <c r="C29" i="8"/>
  <c r="D28" i="8" s="1"/>
  <c r="C30" i="8"/>
  <c r="D29" i="8" s="1"/>
  <c r="C2" i="8"/>
  <c r="D3" i="8" l="1"/>
  <c r="D6" i="8"/>
  <c r="D2" i="8"/>
  <c r="G18" i="8"/>
  <c r="G14" i="8"/>
  <c r="G10" i="8"/>
  <c r="G6" i="8"/>
  <c r="G2" i="8"/>
  <c r="G3" i="8"/>
  <c r="G17" i="8"/>
  <c r="G13" i="8"/>
  <c r="G9" i="8"/>
  <c r="G5" i="8"/>
  <c r="G7" i="8"/>
  <c r="G20" i="8"/>
  <c r="G16" i="8"/>
  <c r="G12" i="8"/>
  <c r="G8" i="8"/>
  <c r="G4" i="8"/>
  <c r="G19" i="8"/>
  <c r="G15" i="8"/>
  <c r="G11" i="8"/>
  <c r="G3" i="7"/>
  <c r="D4" i="7"/>
  <c r="D3" i="7"/>
  <c r="D2" i="7"/>
  <c r="F3" i="7"/>
  <c r="F4" i="7"/>
  <c r="E3" i="7"/>
  <c r="E4" i="7"/>
  <c r="C4" i="7"/>
  <c r="C3" i="7"/>
  <c r="C2" i="7"/>
  <c r="B4" i="7"/>
  <c r="B3" i="7"/>
  <c r="B2" i="7"/>
  <c r="L3" i="6"/>
  <c r="K4" i="8" l="1"/>
  <c r="K5" i="8"/>
  <c r="G4" i="7"/>
  <c r="L2" i="6"/>
  <c r="I3" i="6"/>
  <c r="I4" i="6"/>
  <c r="I5" i="6"/>
  <c r="I6" i="6"/>
  <c r="I7" i="6"/>
  <c r="I8" i="6"/>
  <c r="I9" i="6"/>
  <c r="I10" i="6"/>
  <c r="I11" i="6"/>
  <c r="I12" i="6"/>
  <c r="I13" i="6"/>
  <c r="I2" i="6"/>
  <c r="H13" i="6"/>
  <c r="H12" i="6"/>
  <c r="H11" i="6"/>
  <c r="H10" i="6"/>
  <c r="H9" i="6"/>
  <c r="H8" i="6"/>
  <c r="H7" i="6"/>
  <c r="H6" i="6"/>
  <c r="H5" i="6"/>
  <c r="H4" i="6"/>
  <c r="H3" i="6"/>
  <c r="H2" i="6"/>
  <c r="G13" i="6"/>
  <c r="G12" i="6"/>
  <c r="G11" i="6"/>
  <c r="G10" i="6"/>
  <c r="G9" i="6"/>
  <c r="G8" i="6"/>
  <c r="G7" i="6"/>
  <c r="G6" i="6"/>
  <c r="G5" i="6"/>
  <c r="G2" i="6"/>
  <c r="G3" i="6"/>
  <c r="G4" i="6"/>
  <c r="D3" i="6" l="1"/>
  <c r="D4" i="6"/>
  <c r="D5" i="6"/>
  <c r="D6" i="6"/>
  <c r="D7" i="6"/>
  <c r="D8" i="6"/>
  <c r="D9" i="6"/>
  <c r="D10" i="6"/>
  <c r="D11" i="6"/>
  <c r="D12" i="6"/>
  <c r="D2" i="6"/>
  <c r="C3" i="6"/>
  <c r="C4" i="6"/>
  <c r="C5" i="6"/>
  <c r="C6" i="6"/>
  <c r="C7" i="6"/>
  <c r="C8" i="6"/>
  <c r="C9" i="6"/>
  <c r="C10" i="6"/>
  <c r="C11" i="6"/>
  <c r="C12" i="6"/>
  <c r="C13" i="6"/>
  <c r="C2" i="6"/>
  <c r="AM15" i="2"/>
  <c r="AM13" i="2"/>
  <c r="C4" i="5" l="1"/>
  <c r="C5" i="5"/>
  <c r="C6" i="5"/>
  <c r="C7" i="5"/>
  <c r="C8" i="5"/>
  <c r="C9" i="5"/>
  <c r="C10" i="5"/>
  <c r="C11" i="5"/>
  <c r="C12" i="5"/>
  <c r="C3" i="5"/>
  <c r="B3" i="5"/>
  <c r="B4" i="5"/>
  <c r="B5" i="5"/>
  <c r="B6" i="5"/>
  <c r="B7" i="5"/>
  <c r="B8" i="5"/>
  <c r="B9" i="5"/>
  <c r="B10" i="5"/>
  <c r="B11" i="5"/>
  <c r="B12" i="5"/>
  <c r="B2" i="5"/>
  <c r="C8" i="4" l="1"/>
  <c r="C3" i="4"/>
  <c r="C4" i="4"/>
  <c r="C5" i="4"/>
  <c r="C6" i="4"/>
  <c r="C7" i="4"/>
  <c r="C2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<sst xmlns="http://schemas.openxmlformats.org/spreadsheetml/2006/main" count="2200" uniqueCount="94">
  <si>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</si>
  <si>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</si>
  <si>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</si>
  <si>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</si>
  <si>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</si>
  <si>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</si>
  <si>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</si>
  <si>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</si>
  <si>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</si>
  <si>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</si>
  <si>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</si>
  <si>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</si>
  <si>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</si>
  <si>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</si>
  <si>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</si>
  <si>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</si>
  <si>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</si>
  <si>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</si>
  <si>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</si>
  <si>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</si>
  <si>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</si>
  <si>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</si>
  <si>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</si>
  <si>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</si>
  <si>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</si>
  <si>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</si>
  <si>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</si>
  <si>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</si>
  <si>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</si>
  <si>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</si>
  <si>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</si>
  <si>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</si>
  <si>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</si>
  <si>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</si>
  <si>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</si>
  <si>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</si>
  <si>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</si>
  <si>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</si>
  <si>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</si>
  <si>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</si>
  <si>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</si>
  <si>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</si>
  <si>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</si>
  <si>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</si>
  <si>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</si>
  <si>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</si>
  <si>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</si>
  <si>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</si>
  <si>
    <t>-</t>
  </si>
  <si>
    <t>Sub-Category</t>
  </si>
  <si>
    <t>Broader Bucket</t>
  </si>
  <si>
    <t>Food</t>
  </si>
  <si>
    <t>Pan Tobacco &amp; Intoxicants</t>
  </si>
  <si>
    <t>Clothing &amp; Footwear</t>
  </si>
  <si>
    <t>Fuel &amp; Light</t>
  </si>
  <si>
    <t>Miscellaneous Services</t>
  </si>
  <si>
    <t>Broader Category</t>
  </si>
  <si>
    <t>Sum of Index Values</t>
  </si>
  <si>
    <t>Contribution %</t>
  </si>
  <si>
    <t>GRAND TOTAL</t>
  </si>
  <si>
    <t>Avg General Index</t>
  </si>
  <si>
    <t>YoY Growth %</t>
  </si>
  <si>
    <t>Reason for High Inflation in 2022</t>
  </si>
  <si>
    <t>1- Russia Ukraine War → Food &amp; Oil prices spike</t>
  </si>
  <si>
    <t>2-High crude oil prices → Fuel inflation</t>
  </si>
  <si>
    <t>3-Post COVID supply chain disruption</t>
  </si>
  <si>
    <t>4-Weak Rupee → Expensive imports</t>
  </si>
  <si>
    <t xml:space="preserve">Year </t>
  </si>
  <si>
    <t>Food Index</t>
  </si>
  <si>
    <t>M o M %</t>
  </si>
  <si>
    <t>Sub Category</t>
  </si>
  <si>
    <t>Absolute Change</t>
  </si>
  <si>
    <t>Eggs</t>
  </si>
  <si>
    <t>max inflation</t>
  </si>
  <si>
    <t>biggest contributor</t>
  </si>
  <si>
    <t>spices</t>
  </si>
  <si>
    <t>Prepared meals, snacks, sweets</t>
  </si>
  <si>
    <t>Period</t>
  </si>
  <si>
    <t>Avg Food Index</t>
  </si>
  <si>
    <t>Avg Health Index</t>
  </si>
  <si>
    <t>Pre COVID (2017-Feb 2020)</t>
  </si>
  <si>
    <t>COVID Onset (Mar-Dec 2020)</t>
  </si>
  <si>
    <t>Post COVID (2021-May 2023)</t>
  </si>
  <si>
    <t>Food % Change</t>
  </si>
  <si>
    <t>Health % Change</t>
  </si>
  <si>
    <t>General % Change</t>
  </si>
  <si>
    <t>Fuel &amp; Light Index</t>
  </si>
  <si>
    <t>MoM Change %</t>
  </si>
  <si>
    <t>Category</t>
  </si>
  <si>
    <t>Correlation with Fuel</t>
  </si>
  <si>
    <t>Prepared meals</t>
  </si>
  <si>
    <t>Pan tobacco &amp; intoxicants</t>
  </si>
  <si>
    <t>Max Correl</t>
  </si>
  <si>
    <t>Strongest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</si>
</sst>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6" fillId="0" borderId="0" xfId="0" applyFont="1"/>
    <xf numFmtId="0" fontId="0" fillId="0" borderId="0" xfId="0" applyFont="1"/>
    <xf numFmtId="0" fontId="0" fillId="0" borderId="0" xfId="0" applyAlignment="1">
      <alignment vertical="center" wrapText="1"/>
    </xf>
    <xf numFmtId="2" fontId="0" fillId="0" borderId="0" xfId="0" applyNumberFormat="1"/>
    <xf numFmtId="0" fontId="18" fillId="0" borderId="0" xfId="0" applyFont="1"/>
    <xf numFmtId="0" fontId="18" fillId="33" borderId="0" xfId="0" applyFont="1" applyFill="1"/>
    <xf numFmtId="0" fontId="16" fillId="0" borderId="0" xfId="0" applyNumberFormat="1" applyFont="1"/>
    <xf numFmtId="0" fontId="0" fillId="0" borderId="0" xfId="0" applyNumberFormat="1"/>
    <xf numFmtId="1" fontId="0" fillId="0" borderId="0" xfId="0" applyNumberFormat="1"/>
    <xf numFmtId="0" fontId="14" fillId="0" borderId="0" xfId="0" applyFont="1"/>
    <xf numFmtId="17" fontId="16" fillId="0" borderId="0" xfId="0" applyNumberFormat="1" applyFont="1"/>
    <xf numFmtId="0" fontId="0" fillId="34" borderId="0" xfId="0" applyFill="1"/>
    <xf numFmtId="0" fontId="0" fillId="35" borderId="0" xfId="0" applyFill="1"/>
    <xf numFmtId="0" fontId="16" fillId="36" borderId="0" xfId="0" applyFont="1" applyFill="1"/>
    <xf numFmtId="0" fontId="0" fillId="36" borderId="0" xfId="0" applyFill="1"/>
    <xf numFmtId="0" fontId="19" fillId="0" borderId="0" xfId="0" applyFont="1"/>
    <xf numFmtId="0" fontId="16" fillId="37" borderId="0" xfId="0" applyFont="1" applyFill="1"/>
    <xf numFmtId="0" fontId="16" fillId="38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Contribution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'broader category cont. Analysis'!$B$1</c:f>
              <c:strCache>
                <c:ptCount val="1"/>
                <c:pt idx="0">
                  <c:v>Sum of Index Values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13D-4C6B-B7E4-46EBD9D4FC0C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3D-4C6B-B7E4-46EBD9D4FC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7E-4616-AF14-73D432FA0F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A7E-4616-AF14-73D432FA0F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A7E-4616-AF14-73D432FA0F9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13D-4C6B-B7E4-46EBD9D4FC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3D-4C6B-B7E4-46EBD9D4FC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'broader category cont. Analysis'!$A$2:$A$8</c:f>
              <c:strCache>
                <c:ptCount val="7"/>
                <c:pt idx="0">
                  <c:v>Food</c:v>
                </c:pt>
                <c:pt idx="1">
                  <c:v>Pan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Miscellaneous Services</c:v>
                </c:pt>
                <c:pt idx="6">
                  <c:v>GRAND TOTAL</c:v>
                </c:pt>
              </c:strCache>
            </c:strRef>
          </c:cat>
          <c:val>
            <c:numRef>
              <c:f>'broader category cont. Analysis'!$B$2:$B$8</c:f>
              <c:numCache>
                <c:formatCode>General</c:formatCode>
                <c:ptCount val="7"/>
                <c:pt idx="0">
                  <c:v>2127.8000000000002</c:v>
                </c:pt>
                <c:pt idx="1">
                  <c:v>201</c:v>
                </c:pt>
                <c:pt idx="2">
                  <c:v>367</c:v>
                </c:pt>
                <c:pt idx="3">
                  <c:v>175.6</c:v>
                </c:pt>
                <c:pt idx="4">
                  <c:v>182.8</c:v>
                </c:pt>
                <c:pt idx="5">
                  <c:v>1234.9000000000001</c:v>
                </c:pt>
                <c:pt idx="6">
                  <c:v>4289.1000000000004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3D-4C6B-B7E4-46EBD9D4FC0C}"/>
            </c:ext>
          </c:extLst>
        </c:ser>
        <c:ser>
          <c:idx val="1"/>
          <c:order val="1"/>
          <c:tx>
            <c:strRef>
              <c:f>'broader category cont. Analysis'!$C$1</c:f>
              <c:strCache>
                <c:ptCount val="1"/>
                <c:pt idx="0">
                  <c:v>Contribution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A7E-4616-AF14-73D432FA0F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A7E-4616-AF14-73D432FA0F9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A7E-4616-AF14-73D432FA0F9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A7E-4616-AF14-73D432FA0F9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CA7E-4616-AF14-73D432FA0F9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CA7E-4616-AF14-73D432FA0F9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CA7E-4616-AF14-73D432FA0F9D}"/>
              </c:ext>
            </c:extLst>
          </c:dPt>
          <c:cat>
            <c:strRef>
              <c:f>'broader category cont. Analysis'!$A$2:$A$8</c:f>
              <c:strCache>
                <c:ptCount val="7"/>
                <c:pt idx="0">
                  <c:v>Food</c:v>
                </c:pt>
                <c:pt idx="1">
                  <c:v>Pan Tobacco &amp; Intoxicants</c:v>
                </c:pt>
                <c:pt idx="2">
                  <c:v>Clothing &amp; Footwear</c:v>
                </c:pt>
                <c:pt idx="3">
                  <c:v>Housing</c:v>
                </c:pt>
                <c:pt idx="4">
                  <c:v>Fuel &amp; Light</c:v>
                </c:pt>
                <c:pt idx="5">
                  <c:v>Miscellaneous Services</c:v>
                </c:pt>
                <c:pt idx="6">
                  <c:v>GRAND TOTAL</c:v>
                </c:pt>
              </c:strCache>
            </c:strRef>
          </c:cat>
          <c:val>
            <c:numRef>
              <c:f>'broader category cont. Analysis'!$C$2:$C$8</c:f>
              <c:numCache>
                <c:formatCode>0.00</c:formatCode>
                <c:ptCount val="7"/>
                <c:pt idx="0">
                  <c:v>49.60947518127346</c:v>
                </c:pt>
                <c:pt idx="1">
                  <c:v>4.6862978247184719</c:v>
                </c:pt>
                <c:pt idx="2">
                  <c:v>8.5565736401576089</c:v>
                </c:pt>
                <c:pt idx="3">
                  <c:v>4.0940989951271822</c:v>
                </c:pt>
                <c:pt idx="4">
                  <c:v>4.2619663798932175</c:v>
                </c:pt>
                <c:pt idx="5">
                  <c:v>28.791587978830059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3D-4C6B-B7E4-46EBD9D4F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pct5">
      <a:fgClr>
        <a:schemeClr val="accent1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Y-o-Y CPI Inflation Growth Rate (2013-2023)</a:t>
            </a:r>
          </a:p>
        </c:rich>
      </c:tx>
      <c:layout>
        <c:manualLayout>
          <c:xMode val="edge"/>
          <c:yMode val="edge"/>
          <c:x val="0.124208223972003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Pt>
            <c:idx val="9"/>
            <c:marker>
              <c:symbol val="none"/>
            </c:marker>
            <c:bubble3D val="0"/>
            <c:spPr>
              <a:ln w="25400" cap="rnd">
                <a:solidFill>
                  <a:schemeClr val="bg1"/>
                </a:solidFill>
                <a:round/>
              </a:ln>
              <a:effectLst>
                <a:outerShdw dist="25400" dir="2700000" algn="tl" rotWithShape="0">
                  <a:schemeClr val="accent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BD0-4532-8252-09A3E50A68B3}"/>
              </c:ext>
            </c:extLst>
          </c:dPt>
          <c:dLbls>
            <c:dLbl>
              <c:idx val="9"/>
              <c:numFmt formatCode="General" sourceLinked="0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8BD0-4532-8252-09A3E50A68B3}"/>
                </c:ext>
              </c:extLst>
            </c:dLbl>
            <c:numFmt formatCode="General" sourceLinked="0"/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'Y-O-Y Analysis'!$A$2:$A$12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'Y-O-Y Analysis'!$C$2:$C$12</c:f>
              <c:numCache>
                <c:formatCode>General</c:formatCode>
                <c:ptCount val="11"/>
                <c:pt idx="1">
                  <c:v>6.65</c:v>
                </c:pt>
                <c:pt idx="2">
                  <c:v>4.91</c:v>
                </c:pt>
                <c:pt idx="3">
                  <c:v>4.95</c:v>
                </c:pt>
                <c:pt idx="4">
                  <c:v>3.33</c:v>
                </c:pt>
                <c:pt idx="5">
                  <c:v>3.96</c:v>
                </c:pt>
                <c:pt idx="6">
                  <c:v>3.89</c:v>
                </c:pt>
                <c:pt idx="7">
                  <c:v>6.38</c:v>
                </c:pt>
                <c:pt idx="8">
                  <c:v>5.27</c:v>
                </c:pt>
                <c:pt idx="9">
                  <c:v>6.62</c:v>
                </c:pt>
                <c:pt idx="10">
                  <c:v>3.18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0-4532-8252-09A3E50A68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892653520"/>
        <c:axId val="886215024"/>
      </c:lineChart>
      <c:catAx>
        <c:axId val="89265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215024"/>
        <c:crosses val="autoZero"/>
        <c:auto val="1"/>
        <c:lblAlgn val="ctr"/>
        <c:lblOffset val="100"/>
        <c:noMultiLvlLbl val="0"/>
      </c:catAx>
      <c:valAx>
        <c:axId val="88621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653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'Food Trend Analysis'!$D$1</c:f>
              <c:strCache>
                <c:ptCount val="1"/>
                <c:pt idx="0">
                  <c:v>M o M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A16-4C96-AFD3-97A460194BA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B05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A16-4C96-AFD3-97A460194B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'Food Trend Analysis'!$A$2:$A$13</c:f>
              <c:strCache>
                <c:ptCount val="12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  <c:pt idx="7">
                  <c:v>January</c:v>
                </c:pt>
                <c:pt idx="8">
                  <c:v>February</c:v>
                </c:pt>
                <c:pt idx="9">
                  <c:v>March</c:v>
                </c:pt>
                <c:pt idx="10">
                  <c:v>April</c:v>
                </c:pt>
                <c:pt idx="11">
                  <c:v>May</c:v>
                </c:pt>
              </c:strCache>
            </c:strRef>
          </c:cat>
          <c:val>
            <c:numRef>
              <c:f>'Food Trend Analysis'!$D$2:$D$13</c:f>
              <c:numCache>
                <c:formatCode>General</c:formatCode>
                <c:ptCount val="12"/>
                <c:pt idx="0">
                  <c:v>0.06</c:v>
                </c:pt>
                <c:pt idx="1">
                  <c:v>0.74</c:v>
                </c:pt>
                <c:pt idx="2">
                  <c:v>0.85</c:v>
                </c:pt>
                <c:pt idx="3">
                  <c:v>1.01</c:v>
                </c:pt>
                <c:pt idx="4">
                  <c:v>-0.72</c:v>
                </c:pt>
                <c:pt idx="5">
                  <c:v>-1.35</c:v>
                </c:pt>
                <c:pt idx="6">
                  <c:v>0.45</c:v>
                </c:pt>
                <c:pt idx="7">
                  <c:v>0.17</c:v>
                </c:pt>
                <c:pt idx="8">
                  <c:v>0</c:v>
                </c:pt>
                <c:pt idx="9">
                  <c:v>0.51</c:v>
                </c:pt>
                <c:pt idx="1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D-478D-AD81-E8B3E0037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697743"/>
        <c:axId val="126340079"/>
      </c:lineChart>
      <c:catAx>
        <c:axId val="12769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40079"/>
        <c:crosses val="autoZero"/>
        <c:auto val="1"/>
        <c:lblAlgn val="ctr"/>
        <c:lblOffset val="100"/>
        <c:noMultiLvlLbl val="0"/>
      </c:catAx>
      <c:valAx>
        <c:axId val="126340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97743"/>
        <c:crosses val="autoZero"/>
        <c:crossBetween val="between"/>
      </c:valAx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  <a:scene3d>
          <a:camera prst="orthographicFront"/>
          <a:lightRig rig="threePt" dir="t"/>
        </a:scene3d>
        <a:sp3d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COVID-19 Impact on CPI Inflation (% Change from Pre-COVID)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201202974628171"/>
          <c:y val="0.16245370370370371"/>
          <c:w val="0.73032130358705161"/>
          <c:h val="0.5438032225138523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'COVID Impact Analysis'!$A$2</c:f>
              <c:strCache>
                <c:ptCount val="1"/>
                <c:pt idx="0">
                  <c:v>Pre COVID (2017-Feb 2020)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'COVID Impact Analysis'!$E$1:$G$1</c:f>
              <c:strCache>
                <c:ptCount val="3"/>
                <c:pt idx="0">
                  <c:v>Food % Change</c:v>
                </c:pt>
                <c:pt idx="1">
                  <c:v>Health % Change</c:v>
                </c:pt>
                <c:pt idx="2">
                  <c:v>General % Change</c:v>
                </c:pt>
              </c:strCache>
            </c:strRef>
          </c:cat>
          <c:val>
            <c:numRef>
              <c:f>'COVID Impact Analysis'!$E$2:$G$2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0-1B35-4D3D-9521-32D782F370A9}"/>
            </c:ext>
          </c:extLst>
        </c:ser>
        <c:ser>
          <c:idx val="1"/>
          <c:order val="1"/>
          <c:tx>
            <c:strRef>
              <c:f>'COVID Impact Analysis'!$A$3</c:f>
              <c:strCache>
                <c:ptCount val="1"/>
                <c:pt idx="0">
                  <c:v>COVID Onset (Mar-Dec 2020)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 Impact Analysis'!$E$1:$G$1</c:f>
              <c:strCache>
                <c:ptCount val="3"/>
                <c:pt idx="0">
                  <c:v>Food % Change</c:v>
                </c:pt>
                <c:pt idx="1">
                  <c:v>Health % Change</c:v>
                </c:pt>
                <c:pt idx="2">
                  <c:v>General % Change</c:v>
                </c:pt>
              </c:strCache>
            </c:strRef>
          </c:cat>
          <c:val>
            <c:numRef>
              <c:f>'COVID Impact Analysis'!$E$3:$G$3</c:f>
              <c:numCache>
                <c:formatCode>General</c:formatCode>
                <c:ptCount val="3"/>
                <c:pt idx="0">
                  <c:v>11.53</c:v>
                </c:pt>
                <c:pt idx="1">
                  <c:v>11.76</c:v>
                </c:pt>
                <c:pt idx="2">
                  <c:v>10.61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5-4D3D-9521-32D782F370A9}"/>
            </c:ext>
          </c:extLst>
        </c:ser>
        <c:ser>
          <c:idx val="2"/>
          <c:order val="2"/>
          <c:tx>
            <c:strRef>
              <c:f>'COVID Impact Analysis'!$A$4</c:f>
              <c:strCache>
                <c:ptCount val="1"/>
                <c:pt idx="0">
                  <c:v>Post COVID (2021-May 2023)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B35-4D3D-9521-32D782F370A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B35-4D3D-9521-32D782F370A9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B35-4D3D-9521-32D782F370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'COVID Impact Analysis'!$E$1:$G$1</c:f>
              <c:strCache>
                <c:ptCount val="3"/>
                <c:pt idx="0">
                  <c:v>Food % Change</c:v>
                </c:pt>
                <c:pt idx="1">
                  <c:v>Health % Change</c:v>
                </c:pt>
                <c:pt idx="2">
                  <c:v>General % Change</c:v>
                </c:pt>
              </c:strCache>
            </c:strRef>
          </c:cat>
          <c:val>
            <c:numRef>
              <c:f>'COVID Impact Analysis'!$E$4:$G$4</c:f>
              <c:numCache>
                <c:formatCode>General</c:formatCode>
                <c:ptCount val="3"/>
                <c:pt idx="0">
                  <c:v>21.19</c:v>
                </c:pt>
                <c:pt idx="1">
                  <c:v>25.47</c:v>
                </c:pt>
                <c:pt idx="2">
                  <c:v>21.64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5-4D3D-9521-32D782F370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3234016"/>
        <c:axId val="663471728"/>
      </c:barChart>
      <c:catAx>
        <c:axId val="66323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471728"/>
        <c:crosses val="autoZero"/>
        <c:auto val="1"/>
        <c:lblAlgn val="ctr"/>
        <c:lblOffset val="100"/>
        <c:noMultiLvlLbl val="0"/>
      </c:catAx>
      <c:valAx>
        <c:axId val="663471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3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'Oil Price Analysis'!$G$1</c:f>
              <c:strCache>
                <c:ptCount val="1"/>
                <c:pt idx="0">
                  <c:v>Correlation with Fuel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42-4B70-A2F3-C13E17E7744A}"/>
              </c:ext>
            </c:extLst>
          </c:dPt>
          <c:dPt>
            <c:idx val="1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942-4B70-A2F3-C13E17E7744A}"/>
              </c:ext>
            </c:extLst>
          </c:dPt>
          <c:cat>
            <c:strRef>
              <c:f>'Oil Price Analysis'!$F$2:$F$20</c:f>
              <c:strCache>
                <c:ptCount val="19"/>
                <c:pt idx="0">
                  <c:v>Cereals and products</c:v>
                </c:pt>
                <c:pt idx="1">
                  <c:v>Meat and fish</c:v>
                </c:pt>
                <c:pt idx="2">
                  <c:v>Egg</c:v>
                </c:pt>
                <c:pt idx="3">
                  <c:v>Milk and products</c:v>
                </c:pt>
                <c:pt idx="4">
                  <c:v>Oils and fats</c:v>
                </c:pt>
                <c:pt idx="5">
                  <c:v>Fruits</c:v>
                </c:pt>
                <c:pt idx="6">
                  <c:v>Vegetables</c:v>
                </c:pt>
                <c:pt idx="7">
                  <c:v>Pulses and products</c:v>
                </c:pt>
                <c:pt idx="8">
                  <c:v>Sugar and Confectionery</c:v>
                </c:pt>
                <c:pt idx="9">
                  <c:v>Spices</c:v>
                </c:pt>
                <c:pt idx="10">
                  <c:v>Non-alcoholic beverages</c:v>
                </c:pt>
                <c:pt idx="11">
                  <c:v>Prepared meals</c:v>
                </c:pt>
                <c:pt idx="12">
                  <c:v>Pan tobacco &amp; intoxicants</c:v>
                </c:pt>
                <c:pt idx="13">
                  <c:v>Clothing</c:v>
                </c:pt>
                <c:pt idx="14">
                  <c:v>Footwear</c:v>
                </c:pt>
                <c:pt idx="15">
                  <c:v>Health</c:v>
                </c:pt>
                <c:pt idx="16">
                  <c:v>Transport and communication</c:v>
                </c:pt>
                <c:pt idx="17">
                  <c:v>Education</c:v>
                </c:pt>
                <c:pt idx="18">
                  <c:v>Miscellaneous</c:v>
                </c:pt>
              </c:strCache>
            </c:strRef>
          </c:cat>
          <c:val>
            <c:numRef>
              <c:f>'Oil Price Analysis'!$G$2:$G$20</c:f>
              <c:numCache>
                <c:formatCode>General</c:formatCode>
                <c:ptCount val="19"/>
                <c:pt idx="0">
                  <c:v>0.90866975710010101</c:v>
                </c:pt>
                <c:pt idx="1">
                  <c:v>0.80888750794374131</c:v>
                </c:pt>
                <c:pt idx="2">
                  <c:v>0.24307342696775963</c:v>
                </c:pt>
                <c:pt idx="3">
                  <c:v>0.94294073307985671</c:v>
                </c:pt>
                <c:pt idx="4">
                  <c:v>0.48930201421046005</c:v>
                </c:pt>
                <c:pt idx="5">
                  <c:v>0.63933552547578754</c:v>
                </c:pt>
                <c:pt idx="6">
                  <c:v>9.6863147322166804E-2</c:v>
                </c:pt>
                <c:pt idx="7">
                  <c:v>0.84989929800426356</c:v>
                </c:pt>
                <c:pt idx="8">
                  <c:v>0.77078710371910275</c:v>
                </c:pt>
                <c:pt idx="9">
                  <c:v>0.93896615084544477</c:v>
                </c:pt>
                <c:pt idx="10">
                  <c:v>0.97878577086812479</c:v>
                </c:pt>
                <c:pt idx="11">
                  <c:v>0.98227979087392592</c:v>
                </c:pt>
                <c:pt idx="12">
                  <c:v>0.93979244095169767</c:v>
                </c:pt>
                <c:pt idx="13">
                  <c:v>0.98511497592725472</c:v>
                </c:pt>
                <c:pt idx="14">
                  <c:v>0.98708804417289042</c:v>
                </c:pt>
                <c:pt idx="15">
                  <c:v>0.96917345703015834</c:v>
                </c:pt>
                <c:pt idx="16">
                  <c:v>0.96707995712942674</c:v>
                </c:pt>
                <c:pt idx="17">
                  <c:v>0.98447620936103708</c:v>
                </c:pt>
                <c:pt idx="18">
                  <c:v>0.98253256392256361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2-4B70-A2F3-C13E17E7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3404512"/>
        <c:axId val="1302489696"/>
      </c:barChart>
      <c:catAx>
        <c:axId val="137340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489696"/>
        <c:crosses val="autoZero"/>
        <c:auto val="1"/>
        <c:lblAlgn val="ctr"/>
        <c:lblOffset val="100"/>
        <c:noMultiLvlLbl val="0"/>
      </c:catAx>
      <c:valAx>
        <c:axId val="130248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340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0</xdr:row>
      <xdr:rowOff>0</xdr:rowOff>
    </xdr:from>
    <xdr:to>
      <xdr:col>11</xdr:col>
      <xdr:colOff>466725</xdr:colOff>
      <xdr:row>14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ED0B4A-AE87-46D8-9E20-B54B216F1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14F930-4148-40EF-91C6-E7709962B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571500</xdr:colOff>
      <xdr:row>4</xdr:row>
      <xdr:rowOff>14287</xdr:rowOff>
    </xdr:from>
    <xdr:to>
      <xdr:col>16</xdr:col>
      <xdr:colOff>276225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03EC0-6BD8-4B01-9A06-C1A578071A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5</xdr:row>
      <xdr:rowOff>42862</xdr:rowOff>
    </xdr:from>
    <xdr:to>
      <xdr:col>5</xdr:col>
      <xdr:colOff>390525</xdr:colOff>
      <xdr:row>19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FCC8F-FB6E-4230-BD12-D8E2181CE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5</xdr:row>
      <xdr:rowOff>185737</xdr:rowOff>
    </xdr:from>
    <xdr:to>
      <xdr:col>14</xdr:col>
      <xdr:colOff>133350</xdr:colOff>
      <xdr:row>20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347220-6FD7-451A-96ED-C7338A66B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D373" totalsRowShown="0">
  <autoFilter ref="A1:AD373" xr:uid="{00000000-0009-0000-0100-000001000000}"/>
  <tableColumns count="30">
    <tableColumn id="1" xr3:uid="{00000000-0010-0000-0000-000001000000}" name="Sector"/>
    <tableColumn id="2" xr3:uid="{00000000-0010-0000-0000-000002000000}" name="Year"/>
    <tableColumn id="3" xr3:uid="{00000000-0010-0000-0000-000003000000}" name="Month"/>
    <tableColumn id="4" xr3:uid="{00000000-0010-0000-0000-000004000000}" name="Cereals and products"/>
    <tableColumn id="5" xr3:uid="{00000000-0010-0000-0000-000005000000}" name="Meat and fish"/>
    <tableColumn id="6" xr3:uid="{00000000-0010-0000-0000-000006000000}" name="Egg"/>
    <tableColumn id="7" xr3:uid="{00000000-0010-0000-0000-000007000000}" name="Milk and products"/>
    <tableColumn id="8" xr3:uid="{00000000-0010-0000-0000-000008000000}" name="Oils and fats"/>
    <tableColumn id="9" xr3:uid="{00000000-0010-0000-0000-000009000000}" name="Fruits"/>
    <tableColumn id="10" xr3:uid="{00000000-0010-0000-0000-00000A000000}" name="Vegetables"/>
    <tableColumn id="11" xr3:uid="{00000000-0010-0000-0000-00000B000000}" name="Pulses and products"/>
    <tableColumn id="12" xr3:uid="{00000000-0010-0000-0000-00000C000000}" name="Sugar and Confectionery"/>
    <tableColumn id="13" xr3:uid="{00000000-0010-0000-0000-00000D000000}" name="Spices"/>
    <tableColumn id="14" xr3:uid="{00000000-0010-0000-0000-00000E000000}" name="Non-alcoholic beverages"/>
    <tableColumn id="15" xr3:uid="{00000000-0010-0000-0000-00000F000000}" name="Prepared meals, snacks, sweets etc."/>
    <tableColumn id="16" xr3:uid="{00000000-0010-0000-0000-000010000000}" name="Food and beverages"/>
    <tableColumn id="17" xr3:uid="{00000000-0010-0000-0000-000011000000}" name="Pan, tobacco and intoxicants"/>
    <tableColumn id="18" xr3:uid="{00000000-0010-0000-0000-000012000000}" name="Clothing"/>
    <tableColumn id="19" xr3:uid="{00000000-0010-0000-0000-000013000000}" name="Footwear"/>
    <tableColumn id="20" xr3:uid="{00000000-0010-0000-0000-000014000000}" name="Clothing and footwear"/>
    <tableColumn id="21" xr3:uid="{00000000-0010-0000-0000-000015000000}" name="Housing"/>
    <tableColumn id="22" xr3:uid="{00000000-0010-0000-0000-000016000000}" name="Fuel and light"/>
    <tableColumn id="23" xr3:uid="{00000000-0010-0000-0000-000017000000}" name="Household goods and services"/>
    <tableColumn id="24" xr3:uid="{00000000-0010-0000-0000-000018000000}" name="Health"/>
    <tableColumn id="25" xr3:uid="{00000000-0010-0000-0000-000019000000}" name="Transport and communication"/>
    <tableColumn id="26" xr3:uid="{00000000-0010-0000-0000-00001A000000}" name="Recreation and amusement"/>
    <tableColumn id="27" xr3:uid="{00000000-0010-0000-0000-00001B000000}" name="Education"/>
    <tableColumn id="28" xr3:uid="{00000000-0010-0000-0000-00001C000000}" name="Personal care and effects"/>
    <tableColumn id="29" xr3:uid="{00000000-0010-0000-0000-00001D000000}" name="Miscellaneous"/>
    <tableColumn id="30" xr3:uid="{00000000-0010-0000-0000-00001E000000}" name="General index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32CAB4-1C76-4962-BAC8-EFA17ADB3206}" name="Table2" displayName="Table2" ref="A1:C9" totalsRowShown="0" headerRowDxfId="2">
  <autoFilter ref="A1:C9" xr:uid="{0FD02EB2-271B-43BD-8649-7FDAFF416F49}"/>
  <tableColumns count="3">
    <tableColumn id="1" xr3:uid="{DA864924-9FF4-40A9-8888-A96B5FBA7D00}" name="Broader Category"/>
    <tableColumn id="2" xr3:uid="{7AA3FF19-46E7-4F15-8094-FA7037E93729}" name="Sum of Index Values"/>
    <tableColumn id="3" xr3:uid="{0B0999D8-0212-48DA-A509-E88E8DA5CFA2}" name="Contribution %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737BCE-A857-4E36-A36F-C0753C20FF8B}" name="Table4" displayName="Table4" ref="B1:C12" totalsRowShown="0" headerRowDxfId="0">
  <autoFilter ref="B1:C12" xr:uid="{BF55C77C-24C3-4B00-A5A1-CA05F65A7D71}"/>
  <tableColumns count="2">
    <tableColumn id="1" xr3:uid="{F7AEBCC4-2073-4F19-8FDD-A6CB203001C6}" name="Avg General Index">
      <calculatedColumnFormula>ROUND(AVERAGEIFS('All_India_Index_Upto_April23 (1'!$AD:$AD,'All_India_Index_Upto_April23 (1'!$B:$B,A2,'All_India_Index_Upto_April23 (1'!$A:$A,"Rural+Urban"),2)</calculatedColumnFormula>
    </tableColumn>
    <tableColumn id="2" xr3:uid="{71CF93A7-DCE5-4C67-9498-C000480109A9}" name="YoY Growth %">
      <calculatedColumnFormula>ROUND((B2-B1)/B1*100,2)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73"/>
  <sheetViews>
    <sheetView topLeftCell="X1" workbookViewId="0">
      <selection activeCell="AD2" sqref="AD2"/>
    </sheetView>
  </sheetViews>
  <sheetFormatPr defaultRowHeight="15" x14ac:dyDescent="0.25"/>
  <cols>
    <col min="1" max="1" width="11.85546875" bestFit="1" customWidth="1"/>
    <col min="2" max="2" width="5" bestFit="1" customWidth="1"/>
    <col min="3" max="3" width="10.85546875" bestFit="1" customWidth="1"/>
    <col min="4" max="4" width="19.7109375" bestFit="1" customWidth="1"/>
    <col min="5" max="5" width="13.140625" bestFit="1" customWidth="1"/>
    <col min="6" max="6" width="6" bestFit="1" customWidth="1"/>
    <col min="7" max="7" width="16.85546875" bestFit="1" customWidth="1"/>
    <col min="8" max="8" width="11.85546875" bestFit="1" customWidth="1"/>
    <col min="9" max="9" width="6" bestFit="1" customWidth="1"/>
    <col min="10" max="10" width="11" bestFit="1" customWidth="1"/>
    <col min="11" max="11" width="18.85546875" bestFit="1" customWidth="1"/>
    <col min="12" max="12" width="23" bestFit="1" customWidth="1"/>
    <col min="13" max="13" width="6.5703125" bestFit="1" customWidth="1"/>
    <col min="14" max="14" width="23.28515625" bestFit="1" customWidth="1"/>
    <col min="15" max="15" width="33.28515625" bestFit="1" customWidth="1"/>
    <col min="16" max="16" width="19" bestFit="1" customWidth="1"/>
    <col min="17" max="17" width="26.5703125" bestFit="1" customWidth="1"/>
    <col min="18" max="18" width="8.42578125" bestFit="1" customWidth="1"/>
    <col min="19" max="19" width="9.42578125" bestFit="1" customWidth="1"/>
    <col min="20" max="20" width="21" bestFit="1" customWidth="1"/>
    <col min="21" max="21" width="8.140625" bestFit="1" customWidth="1"/>
    <col min="22" max="22" width="13.140625" bestFit="1" customWidth="1"/>
    <col min="23" max="23" width="28.140625" bestFit="1" customWidth="1"/>
    <col min="24" max="24" width="6.85546875" bestFit="1" customWidth="1"/>
    <col min="25" max="25" width="27.85546875" bestFit="1" customWidth="1"/>
    <col min="26" max="26" width="25.85546875" bestFit="1" customWidth="1"/>
    <col min="27" max="27" width="9.7109375" bestFit="1" customWidth="1"/>
    <col min="28" max="28" width="23.5703125" bestFit="1" customWidth="1"/>
    <col min="29" max="29" width="13.85546875" bestFit="1" customWidth="1"/>
    <col min="30" max="30" width="13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0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0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0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0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0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0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0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0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0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0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0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</row>
    <row r="14" spans="1:30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0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</row>
    <row r="16" spans="1:30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44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47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73"/>
  <sheetViews>
    <sheetView topLeftCell="T1" zoomScale="79" zoomScaleNormal="115" workbookViewId="0">
      <selection activeCell="D1" sqref="D1"/>
    </sheetView>
  </sheetViews>
  <sheetFormatPr defaultRowHeight="15" x14ac:dyDescent="0.25"/>
  <cols>
    <col min="3" max="3" width="10.85546875" bestFit="1" customWidth="1"/>
    <col min="4" max="4" width="21.5703125" customWidth="1"/>
    <col min="5" max="5" width="15.28515625" customWidth="1"/>
    <col min="7" max="7" width="19" customWidth="1"/>
    <col min="8" max="8" width="14" customWidth="1"/>
    <col min="10" max="10" width="13.140625" customWidth="1"/>
    <col min="11" max="11" width="20.7109375" customWidth="1"/>
    <col min="12" max="12" width="24.7109375" customWidth="1"/>
    <col min="14" max="14" width="25" customWidth="1"/>
    <col min="15" max="15" width="34.7109375" customWidth="1"/>
    <col min="16" max="16" width="20.85546875" customWidth="1"/>
    <col min="17" max="17" width="28.140625" customWidth="1"/>
    <col min="18" max="18" width="10.5703125" customWidth="1"/>
    <col min="19" max="19" width="11.5703125" customWidth="1"/>
    <col min="20" max="20" width="22.85546875" customWidth="1"/>
    <col min="21" max="21" width="10.28515625" customWidth="1"/>
    <col min="22" max="22" width="15.140625" customWidth="1"/>
    <col min="23" max="23" width="29.7109375" customWidth="1"/>
    <col min="25" max="25" width="29.42578125" customWidth="1"/>
    <col min="26" max="26" width="27.42578125" customWidth="1"/>
    <col min="27" max="27" width="11.85546875" customWidth="1"/>
    <col min="28" max="28" width="25.28515625" customWidth="1"/>
    <col min="29" max="29" width="16" customWidth="1"/>
    <col min="30" max="30" width="15.7109375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9" x14ac:dyDescent="0.25">
      <c r="A2" t="s">
        <v>30</v>
      </c>
      <c r="B2">
        <v>2013</v>
      </c>
      <c r="C2" t="s">
        <v>31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>
        <v>106.5</v>
      </c>
      <c r="S2">
        <v>105.8</v>
      </c>
      <c r="T2">
        <v>106.4</v>
      </c>
      <c r="U2" t="s">
        <v>32</v>
      </c>
      <c r="V2">
        <v>105.5</v>
      </c>
      <c r="W2">
        <v>104.8</v>
      </c>
      <c r="X2">
        <v>104</v>
      </c>
      <c r="Y2">
        <v>103.3</v>
      </c>
      <c r="Z2">
        <v>103.4</v>
      </c>
      <c r="AA2">
        <v>103.8</v>
      </c>
      <c r="AB2">
        <v>104.7</v>
      </c>
      <c r="AC2">
        <v>104</v>
      </c>
      <c r="AD2">
        <v>105.1</v>
      </c>
    </row>
    <row r="3" spans="1:39" x14ac:dyDescent="0.25">
      <c r="A3" t="s">
        <v>33</v>
      </c>
      <c r="B3">
        <v>2013</v>
      </c>
      <c r="C3" t="s">
        <v>31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>
        <v>105.9</v>
      </c>
      <c r="S3">
        <v>105</v>
      </c>
      <c r="T3">
        <v>105.8</v>
      </c>
      <c r="U3">
        <v>100.3</v>
      </c>
      <c r="V3">
        <v>105.4</v>
      </c>
      <c r="W3">
        <v>104.8</v>
      </c>
      <c r="X3">
        <v>104.1</v>
      </c>
      <c r="Y3">
        <v>103.2</v>
      </c>
      <c r="Z3">
        <v>102.9</v>
      </c>
      <c r="AA3">
        <v>103.5</v>
      </c>
      <c r="AB3">
        <v>104.3</v>
      </c>
      <c r="AC3">
        <v>103.7</v>
      </c>
      <c r="AD3">
        <v>104</v>
      </c>
    </row>
    <row r="4" spans="1:39" x14ac:dyDescent="0.25">
      <c r="A4" t="s">
        <v>34</v>
      </c>
      <c r="B4">
        <v>2013</v>
      </c>
      <c r="C4" t="s">
        <v>31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>
        <v>106.3</v>
      </c>
      <c r="S4">
        <v>105.5</v>
      </c>
      <c r="T4">
        <v>106.2</v>
      </c>
      <c r="U4">
        <v>100.3</v>
      </c>
      <c r="V4">
        <v>105.5</v>
      </c>
      <c r="W4">
        <v>104.8</v>
      </c>
      <c r="X4">
        <v>104</v>
      </c>
      <c r="Y4">
        <v>103.2</v>
      </c>
      <c r="Z4">
        <v>103.1</v>
      </c>
      <c r="AA4">
        <v>103.6</v>
      </c>
      <c r="AB4">
        <v>104.5</v>
      </c>
      <c r="AC4">
        <v>103.9</v>
      </c>
      <c r="AD4">
        <v>104.6</v>
      </c>
    </row>
    <row r="5" spans="1:39" x14ac:dyDescent="0.25">
      <c r="A5" t="s">
        <v>30</v>
      </c>
      <c r="B5">
        <v>2013</v>
      </c>
      <c r="C5" t="s">
        <v>35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>
        <v>107.1</v>
      </c>
      <c r="S5">
        <v>106.3</v>
      </c>
      <c r="T5">
        <v>107</v>
      </c>
      <c r="U5" t="s">
        <v>32</v>
      </c>
      <c r="V5">
        <v>106.2</v>
      </c>
      <c r="W5">
        <v>105.2</v>
      </c>
      <c r="X5">
        <v>104.4</v>
      </c>
      <c r="Y5">
        <v>103.9</v>
      </c>
      <c r="Z5">
        <v>104</v>
      </c>
      <c r="AA5">
        <v>104.1</v>
      </c>
      <c r="AB5">
        <v>104.6</v>
      </c>
      <c r="AC5">
        <v>104.4</v>
      </c>
      <c r="AD5">
        <v>105.8</v>
      </c>
    </row>
    <row r="6" spans="1:39" x14ac:dyDescent="0.25">
      <c r="A6" t="s">
        <v>33</v>
      </c>
      <c r="B6">
        <v>2013</v>
      </c>
      <c r="C6" t="s">
        <v>35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>
        <v>106.6</v>
      </c>
      <c r="S6">
        <v>105.5</v>
      </c>
      <c r="T6">
        <v>106.4</v>
      </c>
      <c r="U6">
        <v>100.4</v>
      </c>
      <c r="V6">
        <v>105.7</v>
      </c>
      <c r="W6">
        <v>105.2</v>
      </c>
      <c r="X6">
        <v>104.7</v>
      </c>
      <c r="Y6">
        <v>104.4</v>
      </c>
      <c r="Z6">
        <v>103.3</v>
      </c>
      <c r="AA6">
        <v>103.7</v>
      </c>
      <c r="AB6">
        <v>104.3</v>
      </c>
      <c r="AC6">
        <v>104.3</v>
      </c>
      <c r="AD6">
        <v>104.7</v>
      </c>
    </row>
    <row r="7" spans="1:39" x14ac:dyDescent="0.25">
      <c r="A7" t="s">
        <v>34</v>
      </c>
      <c r="B7">
        <v>2013</v>
      </c>
      <c r="C7" t="s">
        <v>35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>
        <v>106.9</v>
      </c>
      <c r="S7">
        <v>106</v>
      </c>
      <c r="T7">
        <v>106.8</v>
      </c>
      <c r="U7">
        <v>100.4</v>
      </c>
      <c r="V7">
        <v>106</v>
      </c>
      <c r="W7">
        <v>105.2</v>
      </c>
      <c r="X7">
        <v>104.5</v>
      </c>
      <c r="Y7">
        <v>104.2</v>
      </c>
      <c r="Z7">
        <v>103.6</v>
      </c>
      <c r="AA7">
        <v>103.9</v>
      </c>
      <c r="AB7">
        <v>104.5</v>
      </c>
      <c r="AC7">
        <v>104.4</v>
      </c>
      <c r="AD7">
        <v>105.3</v>
      </c>
    </row>
    <row r="8" spans="1:39" x14ac:dyDescent="0.25">
      <c r="A8" t="s">
        <v>30</v>
      </c>
      <c r="B8">
        <v>2013</v>
      </c>
      <c r="C8" t="s">
        <v>36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>
        <v>107.6</v>
      </c>
      <c r="S8">
        <v>106.8</v>
      </c>
      <c r="T8">
        <v>107.5</v>
      </c>
      <c r="U8" t="s">
        <v>32</v>
      </c>
      <c r="V8">
        <v>106.1</v>
      </c>
      <c r="W8">
        <v>105.6</v>
      </c>
      <c r="X8">
        <v>104.7</v>
      </c>
      <c r="Y8">
        <v>104.6</v>
      </c>
      <c r="Z8">
        <v>104</v>
      </c>
      <c r="AA8">
        <v>104.3</v>
      </c>
      <c r="AB8">
        <v>104.3</v>
      </c>
      <c r="AC8">
        <v>104.6</v>
      </c>
      <c r="AD8">
        <v>106</v>
      </c>
    </row>
    <row r="9" spans="1:39" x14ac:dyDescent="0.25">
      <c r="A9" t="s">
        <v>33</v>
      </c>
      <c r="B9">
        <v>2013</v>
      </c>
      <c r="C9" t="s">
        <v>36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>
        <v>107.2</v>
      </c>
      <c r="S9">
        <v>106</v>
      </c>
      <c r="T9">
        <v>107</v>
      </c>
      <c r="U9">
        <v>100.4</v>
      </c>
      <c r="V9">
        <v>106</v>
      </c>
      <c r="W9">
        <v>105.7</v>
      </c>
      <c r="X9">
        <v>105.2</v>
      </c>
      <c r="Y9">
        <v>105.5</v>
      </c>
      <c r="Z9">
        <v>103.5</v>
      </c>
      <c r="AA9">
        <v>103.8</v>
      </c>
      <c r="AB9">
        <v>104.2</v>
      </c>
      <c r="AC9">
        <v>104.9</v>
      </c>
      <c r="AD9">
        <v>105</v>
      </c>
    </row>
    <row r="10" spans="1:39" x14ac:dyDescent="0.25">
      <c r="A10" t="s">
        <v>34</v>
      </c>
      <c r="B10">
        <v>2013</v>
      </c>
      <c r="C10" t="s">
        <v>36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>
        <v>107.4</v>
      </c>
      <c r="S10">
        <v>106.5</v>
      </c>
      <c r="T10">
        <v>107.3</v>
      </c>
      <c r="U10">
        <v>100.4</v>
      </c>
      <c r="V10">
        <v>106.1</v>
      </c>
      <c r="W10">
        <v>105.6</v>
      </c>
      <c r="X10">
        <v>104.9</v>
      </c>
      <c r="Y10">
        <v>105.1</v>
      </c>
      <c r="Z10">
        <v>103.7</v>
      </c>
      <c r="AA10">
        <v>104</v>
      </c>
      <c r="AB10">
        <v>104.3</v>
      </c>
      <c r="AC10">
        <v>104.7</v>
      </c>
      <c r="AD10">
        <v>105.5</v>
      </c>
    </row>
    <row r="11" spans="1:39" x14ac:dyDescent="0.25">
      <c r="A11" t="s">
        <v>30</v>
      </c>
      <c r="B11">
        <v>2013</v>
      </c>
      <c r="C11" t="s">
        <v>37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>
        <v>108.1</v>
      </c>
      <c r="S11">
        <v>107.4</v>
      </c>
      <c r="T11">
        <v>108</v>
      </c>
      <c r="U11" t="s">
        <v>32</v>
      </c>
      <c r="V11">
        <v>106.5</v>
      </c>
      <c r="W11">
        <v>106.1</v>
      </c>
      <c r="X11">
        <v>105.1</v>
      </c>
      <c r="Y11">
        <v>104.4</v>
      </c>
      <c r="Z11">
        <v>104.5</v>
      </c>
      <c r="AA11">
        <v>104.8</v>
      </c>
      <c r="AB11">
        <v>102.7</v>
      </c>
      <c r="AC11">
        <v>104.6</v>
      </c>
      <c r="AD11">
        <v>106.4</v>
      </c>
    </row>
    <row r="12" spans="1:39" x14ac:dyDescent="0.25">
      <c r="A12" t="s">
        <v>33</v>
      </c>
      <c r="B12">
        <v>2013</v>
      </c>
      <c r="C12" t="s">
        <v>37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>
        <v>107.9</v>
      </c>
      <c r="S12">
        <v>106.4</v>
      </c>
      <c r="T12">
        <v>107.7</v>
      </c>
      <c r="U12">
        <v>100.5</v>
      </c>
      <c r="V12">
        <v>106.4</v>
      </c>
      <c r="W12">
        <v>106.5</v>
      </c>
      <c r="X12">
        <v>105.7</v>
      </c>
      <c r="Y12">
        <v>105</v>
      </c>
      <c r="Z12">
        <v>104</v>
      </c>
      <c r="AA12">
        <v>105.2</v>
      </c>
      <c r="AB12">
        <v>103.2</v>
      </c>
      <c r="AC12">
        <v>105.1</v>
      </c>
      <c r="AD12">
        <v>105.7</v>
      </c>
    </row>
    <row r="13" spans="1:39" x14ac:dyDescent="0.25">
      <c r="A13" t="s">
        <v>34</v>
      </c>
      <c r="B13">
        <v>2013</v>
      </c>
      <c r="C13" t="s">
        <v>37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>
        <v>108</v>
      </c>
      <c r="S13">
        <v>107</v>
      </c>
      <c r="T13">
        <v>107.9</v>
      </c>
      <c r="U13">
        <v>100.5</v>
      </c>
      <c r="V13">
        <v>106.5</v>
      </c>
      <c r="W13">
        <v>106.3</v>
      </c>
      <c r="X13">
        <v>105.3</v>
      </c>
      <c r="Y13">
        <v>104.7</v>
      </c>
      <c r="Z13">
        <v>104.2</v>
      </c>
      <c r="AA13">
        <v>105</v>
      </c>
      <c r="AB13">
        <v>102.9</v>
      </c>
      <c r="AC13">
        <v>104.8</v>
      </c>
      <c r="AD13">
        <v>106.1</v>
      </c>
      <c r="AM13">
        <f>COUNTIF($C:$C,"June")</f>
        <v>30</v>
      </c>
    </row>
    <row r="14" spans="1:39" x14ac:dyDescent="0.25">
      <c r="A14" t="s">
        <v>30</v>
      </c>
      <c r="B14">
        <v>2013</v>
      </c>
      <c r="C14" t="s">
        <v>38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>
        <v>108.8</v>
      </c>
      <c r="S14">
        <v>107.9</v>
      </c>
      <c r="T14">
        <v>108.6</v>
      </c>
      <c r="U14" t="s">
        <v>32</v>
      </c>
      <c r="V14">
        <v>107.5</v>
      </c>
      <c r="W14">
        <v>106.8</v>
      </c>
      <c r="X14">
        <v>105.7</v>
      </c>
      <c r="Y14">
        <v>104.1</v>
      </c>
      <c r="Z14">
        <v>105</v>
      </c>
      <c r="AA14">
        <v>105.5</v>
      </c>
      <c r="AB14">
        <v>102.1</v>
      </c>
      <c r="AC14">
        <v>104.8</v>
      </c>
      <c r="AD14">
        <v>107.2</v>
      </c>
    </row>
    <row r="15" spans="1:39" x14ac:dyDescent="0.25">
      <c r="A15" t="s">
        <v>33</v>
      </c>
      <c r="B15">
        <v>2013</v>
      </c>
      <c r="C15" t="s">
        <v>38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>
        <v>108.5</v>
      </c>
      <c r="S15">
        <v>106.7</v>
      </c>
      <c r="T15">
        <v>108.3</v>
      </c>
      <c r="U15">
        <v>100.5</v>
      </c>
      <c r="V15">
        <v>107.2</v>
      </c>
      <c r="W15">
        <v>107.1</v>
      </c>
      <c r="X15">
        <v>106.2</v>
      </c>
      <c r="Y15">
        <v>103.9</v>
      </c>
      <c r="Z15">
        <v>104.6</v>
      </c>
      <c r="AA15">
        <v>105.7</v>
      </c>
      <c r="AB15">
        <v>102.6</v>
      </c>
      <c r="AC15">
        <v>104.9</v>
      </c>
      <c r="AD15">
        <v>106.6</v>
      </c>
      <c r="AM15">
        <f>COUNTIFS($A:$A,"Rural+Urban",$C:$C,"June",$B:$B,2022)</f>
        <v>1</v>
      </c>
    </row>
    <row r="16" spans="1:39" x14ac:dyDescent="0.25">
      <c r="A16" t="s">
        <v>34</v>
      </c>
      <c r="B16">
        <v>2013</v>
      </c>
      <c r="C16" t="s">
        <v>38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>
        <v>108.7</v>
      </c>
      <c r="S16">
        <v>107.4</v>
      </c>
      <c r="T16">
        <v>108.5</v>
      </c>
      <c r="U16">
        <v>100.5</v>
      </c>
      <c r="V16">
        <v>107.4</v>
      </c>
      <c r="W16">
        <v>106.9</v>
      </c>
      <c r="X16">
        <v>105.9</v>
      </c>
      <c r="Y16">
        <v>104</v>
      </c>
      <c r="Z16">
        <v>104.8</v>
      </c>
      <c r="AA16">
        <v>105.6</v>
      </c>
      <c r="AB16">
        <v>102.3</v>
      </c>
      <c r="AC16">
        <v>104.8</v>
      </c>
      <c r="AD16">
        <v>106.9</v>
      </c>
    </row>
    <row r="17" spans="1:30" x14ac:dyDescent="0.25">
      <c r="A17" t="s">
        <v>30</v>
      </c>
      <c r="B17">
        <v>2013</v>
      </c>
      <c r="C17" t="s">
        <v>39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>
        <v>109.7</v>
      </c>
      <c r="S17">
        <v>108.8</v>
      </c>
      <c r="T17">
        <v>109.5</v>
      </c>
      <c r="U17" t="s">
        <v>32</v>
      </c>
      <c r="V17">
        <v>108.5</v>
      </c>
      <c r="W17">
        <v>107.5</v>
      </c>
      <c r="X17">
        <v>106.3</v>
      </c>
      <c r="Y17">
        <v>105</v>
      </c>
      <c r="Z17">
        <v>105.6</v>
      </c>
      <c r="AA17">
        <v>106.5</v>
      </c>
      <c r="AB17">
        <v>102.5</v>
      </c>
      <c r="AC17">
        <v>105.5</v>
      </c>
      <c r="AD17">
        <v>108.9</v>
      </c>
    </row>
    <row r="18" spans="1:30" x14ac:dyDescent="0.25">
      <c r="A18" t="s">
        <v>33</v>
      </c>
      <c r="B18">
        <v>2013</v>
      </c>
      <c r="C18" t="s">
        <v>39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>
        <v>109.2</v>
      </c>
      <c r="S18">
        <v>107.2</v>
      </c>
      <c r="T18">
        <v>108.9</v>
      </c>
      <c r="U18">
        <v>106.6</v>
      </c>
      <c r="V18">
        <v>108</v>
      </c>
      <c r="W18">
        <v>107.7</v>
      </c>
      <c r="X18">
        <v>106.5</v>
      </c>
      <c r="Y18">
        <v>105.2</v>
      </c>
      <c r="Z18">
        <v>105.2</v>
      </c>
      <c r="AA18">
        <v>108.1</v>
      </c>
      <c r="AB18">
        <v>103.3</v>
      </c>
      <c r="AC18">
        <v>106.1</v>
      </c>
      <c r="AD18">
        <v>109.7</v>
      </c>
    </row>
    <row r="19" spans="1:30" x14ac:dyDescent="0.25">
      <c r="A19" t="s">
        <v>34</v>
      </c>
      <c r="B19">
        <v>2013</v>
      </c>
      <c r="C19" t="s">
        <v>39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>
        <v>109.5</v>
      </c>
      <c r="S19">
        <v>108.1</v>
      </c>
      <c r="T19">
        <v>109.3</v>
      </c>
      <c r="U19">
        <v>106.6</v>
      </c>
      <c r="V19">
        <v>108.3</v>
      </c>
      <c r="W19">
        <v>107.6</v>
      </c>
      <c r="X19">
        <v>106.4</v>
      </c>
      <c r="Y19">
        <v>105.1</v>
      </c>
      <c r="Z19">
        <v>105.4</v>
      </c>
      <c r="AA19">
        <v>107.4</v>
      </c>
      <c r="AB19">
        <v>102.8</v>
      </c>
      <c r="AC19">
        <v>105.8</v>
      </c>
      <c r="AD19">
        <v>109.3</v>
      </c>
    </row>
    <row r="20" spans="1:30" x14ac:dyDescent="0.25">
      <c r="A20" t="s">
        <v>30</v>
      </c>
      <c r="B20">
        <v>2013</v>
      </c>
      <c r="C20" t="s">
        <v>40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>
        <v>110.5</v>
      </c>
      <c r="S20">
        <v>109.5</v>
      </c>
      <c r="T20">
        <v>110.3</v>
      </c>
      <c r="U20" t="s">
        <v>32</v>
      </c>
      <c r="V20">
        <v>109.5</v>
      </c>
      <c r="W20">
        <v>108.3</v>
      </c>
      <c r="X20">
        <v>106.9</v>
      </c>
      <c r="Y20">
        <v>106.8</v>
      </c>
      <c r="Z20">
        <v>106.4</v>
      </c>
      <c r="AA20">
        <v>107.8</v>
      </c>
      <c r="AB20">
        <v>102.5</v>
      </c>
      <c r="AC20">
        <v>106.5</v>
      </c>
      <c r="AD20">
        <v>110.7</v>
      </c>
    </row>
    <row r="21" spans="1:30" x14ac:dyDescent="0.25">
      <c r="A21" t="s">
        <v>33</v>
      </c>
      <c r="B21">
        <v>2013</v>
      </c>
      <c r="C21" t="s">
        <v>40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>
        <v>109.8</v>
      </c>
      <c r="S21">
        <v>107.8</v>
      </c>
      <c r="T21">
        <v>109.5</v>
      </c>
      <c r="U21">
        <v>107.7</v>
      </c>
      <c r="V21">
        <v>108.6</v>
      </c>
      <c r="W21">
        <v>108.1</v>
      </c>
      <c r="X21">
        <v>107.1</v>
      </c>
      <c r="Y21">
        <v>107.3</v>
      </c>
      <c r="Z21">
        <v>105.9</v>
      </c>
      <c r="AA21">
        <v>110.1</v>
      </c>
      <c r="AB21">
        <v>103.2</v>
      </c>
      <c r="AC21">
        <v>107.3</v>
      </c>
      <c r="AD21">
        <v>111.4</v>
      </c>
    </row>
    <row r="22" spans="1:30" x14ac:dyDescent="0.25">
      <c r="A22" t="s">
        <v>34</v>
      </c>
      <c r="B22">
        <v>2013</v>
      </c>
      <c r="C22" t="s">
        <v>40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>
        <v>110.2</v>
      </c>
      <c r="S22">
        <v>108.8</v>
      </c>
      <c r="T22">
        <v>110</v>
      </c>
      <c r="U22">
        <v>107.7</v>
      </c>
      <c r="V22">
        <v>109.2</v>
      </c>
      <c r="W22">
        <v>108.2</v>
      </c>
      <c r="X22">
        <v>107</v>
      </c>
      <c r="Y22">
        <v>107.1</v>
      </c>
      <c r="Z22">
        <v>106.1</v>
      </c>
      <c r="AA22">
        <v>109.1</v>
      </c>
      <c r="AB22">
        <v>102.8</v>
      </c>
      <c r="AC22">
        <v>106.9</v>
      </c>
      <c r="AD22">
        <v>111</v>
      </c>
    </row>
    <row r="23" spans="1:30" x14ac:dyDescent="0.25">
      <c r="A23" t="s">
        <v>30</v>
      </c>
      <c r="B23">
        <v>2013</v>
      </c>
      <c r="C23" t="s">
        <v>41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>
        <v>111.3</v>
      </c>
      <c r="S23">
        <v>110.2</v>
      </c>
      <c r="T23">
        <v>111.1</v>
      </c>
      <c r="U23" t="s">
        <v>32</v>
      </c>
      <c r="V23">
        <v>109.9</v>
      </c>
      <c r="W23">
        <v>108.7</v>
      </c>
      <c r="X23">
        <v>107.5</v>
      </c>
      <c r="Y23">
        <v>107.8</v>
      </c>
      <c r="Z23">
        <v>106.8</v>
      </c>
      <c r="AA23">
        <v>108.7</v>
      </c>
      <c r="AB23">
        <v>105</v>
      </c>
      <c r="AC23">
        <v>107.5</v>
      </c>
      <c r="AD23">
        <v>112.1</v>
      </c>
    </row>
    <row r="24" spans="1:30" x14ac:dyDescent="0.25">
      <c r="A24" t="s">
        <v>33</v>
      </c>
      <c r="B24">
        <v>2013</v>
      </c>
      <c r="C24" t="s">
        <v>41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>
        <v>110.6</v>
      </c>
      <c r="S24">
        <v>108.3</v>
      </c>
      <c r="T24">
        <v>110.2</v>
      </c>
      <c r="U24">
        <v>108.9</v>
      </c>
      <c r="V24">
        <v>109.3</v>
      </c>
      <c r="W24">
        <v>108.7</v>
      </c>
      <c r="X24">
        <v>107.6</v>
      </c>
      <c r="Y24">
        <v>108.1</v>
      </c>
      <c r="Z24">
        <v>106.5</v>
      </c>
      <c r="AA24">
        <v>110.8</v>
      </c>
      <c r="AB24">
        <v>106</v>
      </c>
      <c r="AC24">
        <v>108.3</v>
      </c>
      <c r="AD24">
        <v>112.7</v>
      </c>
    </row>
    <row r="25" spans="1:30" x14ac:dyDescent="0.25">
      <c r="A25" t="s">
        <v>34</v>
      </c>
      <c r="B25">
        <v>2013</v>
      </c>
      <c r="C25" t="s">
        <v>41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>
        <v>111</v>
      </c>
      <c r="S25">
        <v>109.4</v>
      </c>
      <c r="T25">
        <v>110.7</v>
      </c>
      <c r="U25">
        <v>108.9</v>
      </c>
      <c r="V25">
        <v>109.7</v>
      </c>
      <c r="W25">
        <v>108.7</v>
      </c>
      <c r="X25">
        <v>107.5</v>
      </c>
      <c r="Y25">
        <v>108</v>
      </c>
      <c r="Z25">
        <v>106.6</v>
      </c>
      <c r="AA25">
        <v>109.9</v>
      </c>
      <c r="AB25">
        <v>105.4</v>
      </c>
      <c r="AC25">
        <v>107.9</v>
      </c>
      <c r="AD25">
        <v>112.4</v>
      </c>
    </row>
    <row r="26" spans="1:30" x14ac:dyDescent="0.25">
      <c r="A26" t="s">
        <v>30</v>
      </c>
      <c r="B26">
        <v>2013</v>
      </c>
      <c r="C26" t="s">
        <v>42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>
        <v>112.7</v>
      </c>
      <c r="S26">
        <v>111.4</v>
      </c>
      <c r="T26">
        <v>112.5</v>
      </c>
      <c r="U26" t="s">
        <v>32</v>
      </c>
      <c r="V26">
        <v>111.1</v>
      </c>
      <c r="W26">
        <v>109.6</v>
      </c>
      <c r="X26">
        <v>108.3</v>
      </c>
      <c r="Y26">
        <v>109.3</v>
      </c>
      <c r="Z26">
        <v>107.7</v>
      </c>
      <c r="AA26">
        <v>109.8</v>
      </c>
      <c r="AB26">
        <v>106.7</v>
      </c>
      <c r="AC26">
        <v>108.7</v>
      </c>
      <c r="AD26">
        <v>114.2</v>
      </c>
    </row>
    <row r="27" spans="1:30" x14ac:dyDescent="0.25">
      <c r="A27" t="s">
        <v>33</v>
      </c>
      <c r="B27">
        <v>2013</v>
      </c>
      <c r="C27" t="s">
        <v>42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>
        <v>111.4</v>
      </c>
      <c r="S27">
        <v>109</v>
      </c>
      <c r="T27">
        <v>111.1</v>
      </c>
      <c r="U27">
        <v>109.7</v>
      </c>
      <c r="V27">
        <v>109.5</v>
      </c>
      <c r="W27">
        <v>109.6</v>
      </c>
      <c r="X27">
        <v>107.9</v>
      </c>
      <c r="Y27">
        <v>110.4</v>
      </c>
      <c r="Z27">
        <v>107.4</v>
      </c>
      <c r="AA27">
        <v>111.2</v>
      </c>
      <c r="AB27">
        <v>106.9</v>
      </c>
      <c r="AC27">
        <v>109.4</v>
      </c>
      <c r="AD27">
        <v>113.2</v>
      </c>
    </row>
    <row r="28" spans="1:30" x14ac:dyDescent="0.25">
      <c r="A28" t="s">
        <v>34</v>
      </c>
      <c r="B28">
        <v>2013</v>
      </c>
      <c r="C28" t="s">
        <v>42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>
        <v>112.2</v>
      </c>
      <c r="S28">
        <v>110.4</v>
      </c>
      <c r="T28">
        <v>111.9</v>
      </c>
      <c r="U28">
        <v>109.7</v>
      </c>
      <c r="V28">
        <v>110.5</v>
      </c>
      <c r="W28">
        <v>109.6</v>
      </c>
      <c r="X28">
        <v>108.1</v>
      </c>
      <c r="Y28">
        <v>109.9</v>
      </c>
      <c r="Z28">
        <v>107.5</v>
      </c>
      <c r="AA28">
        <v>110.6</v>
      </c>
      <c r="AB28">
        <v>106.8</v>
      </c>
      <c r="AC28">
        <v>109</v>
      </c>
      <c r="AD28">
        <v>113.7</v>
      </c>
    </row>
    <row r="29" spans="1:30" x14ac:dyDescent="0.25">
      <c r="A29" t="s">
        <v>30</v>
      </c>
      <c r="B29">
        <v>2013</v>
      </c>
      <c r="C29" t="s">
        <v>43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>
        <v>113.6</v>
      </c>
      <c r="S29">
        <v>112.3</v>
      </c>
      <c r="T29">
        <v>113.4</v>
      </c>
      <c r="U29" t="s">
        <v>32</v>
      </c>
      <c r="V29">
        <v>111.6</v>
      </c>
      <c r="W29">
        <v>110.4</v>
      </c>
      <c r="X29">
        <v>108.9</v>
      </c>
      <c r="Y29">
        <v>109.3</v>
      </c>
      <c r="Z29">
        <v>108.3</v>
      </c>
      <c r="AA29">
        <v>110.2</v>
      </c>
      <c r="AB29">
        <v>107.5</v>
      </c>
      <c r="AC29">
        <v>109.1</v>
      </c>
      <c r="AD29">
        <v>115.5</v>
      </c>
    </row>
    <row r="30" spans="1:30" x14ac:dyDescent="0.25">
      <c r="A30" t="s">
        <v>33</v>
      </c>
      <c r="B30">
        <v>2013</v>
      </c>
      <c r="C30" t="s">
        <v>43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>
        <v>112.5</v>
      </c>
      <c r="S30">
        <v>109.7</v>
      </c>
      <c r="T30">
        <v>112</v>
      </c>
      <c r="U30">
        <v>110.5</v>
      </c>
      <c r="V30">
        <v>109.7</v>
      </c>
      <c r="W30">
        <v>110.2</v>
      </c>
      <c r="X30">
        <v>108.2</v>
      </c>
      <c r="Y30">
        <v>109.7</v>
      </c>
      <c r="Z30">
        <v>108</v>
      </c>
      <c r="AA30">
        <v>111.3</v>
      </c>
      <c r="AB30">
        <v>107.3</v>
      </c>
      <c r="AC30">
        <v>109.4</v>
      </c>
      <c r="AD30">
        <v>114</v>
      </c>
    </row>
    <row r="31" spans="1:30" x14ac:dyDescent="0.25">
      <c r="A31" t="s">
        <v>34</v>
      </c>
      <c r="B31">
        <v>2013</v>
      </c>
      <c r="C31" t="s">
        <v>43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>
        <v>113.2</v>
      </c>
      <c r="S31">
        <v>111.2</v>
      </c>
      <c r="T31">
        <v>112.8</v>
      </c>
      <c r="U31">
        <v>110.5</v>
      </c>
      <c r="V31">
        <v>110.9</v>
      </c>
      <c r="W31">
        <v>110.3</v>
      </c>
      <c r="X31">
        <v>108.6</v>
      </c>
      <c r="Y31">
        <v>109.5</v>
      </c>
      <c r="Z31">
        <v>108.1</v>
      </c>
      <c r="AA31">
        <v>110.8</v>
      </c>
      <c r="AB31">
        <v>107.4</v>
      </c>
      <c r="AC31">
        <v>109.2</v>
      </c>
      <c r="AD31">
        <v>114.8</v>
      </c>
    </row>
    <row r="32" spans="1:30" x14ac:dyDescent="0.25">
      <c r="A32" t="s">
        <v>30</v>
      </c>
      <c r="B32">
        <v>2013</v>
      </c>
      <c r="C32" t="s">
        <v>45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>
        <v>114.6</v>
      </c>
      <c r="S32">
        <v>113.1</v>
      </c>
      <c r="T32">
        <v>114.4</v>
      </c>
      <c r="U32" t="s">
        <v>32</v>
      </c>
      <c r="V32">
        <v>112.6</v>
      </c>
      <c r="W32">
        <v>111.3</v>
      </c>
      <c r="X32">
        <v>109.7</v>
      </c>
      <c r="Y32">
        <v>109.6</v>
      </c>
      <c r="Z32">
        <v>108.7</v>
      </c>
      <c r="AA32">
        <v>111</v>
      </c>
      <c r="AB32">
        <v>108.2</v>
      </c>
      <c r="AC32">
        <v>109.8</v>
      </c>
      <c r="AD32">
        <v>117.4</v>
      </c>
    </row>
    <row r="33" spans="1:30" x14ac:dyDescent="0.25">
      <c r="A33" t="s">
        <v>33</v>
      </c>
      <c r="B33">
        <v>2013</v>
      </c>
      <c r="C33" t="s">
        <v>45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>
        <v>113.5</v>
      </c>
      <c r="S33">
        <v>110.3</v>
      </c>
      <c r="T33">
        <v>113</v>
      </c>
      <c r="U33">
        <v>111.1</v>
      </c>
      <c r="V33">
        <v>110</v>
      </c>
      <c r="W33">
        <v>110.9</v>
      </c>
      <c r="X33">
        <v>108.6</v>
      </c>
      <c r="Y33">
        <v>109.5</v>
      </c>
      <c r="Z33">
        <v>108.5</v>
      </c>
      <c r="AA33">
        <v>111.3</v>
      </c>
      <c r="AB33">
        <v>107.9</v>
      </c>
      <c r="AC33">
        <v>109.6</v>
      </c>
      <c r="AD33">
        <v>115</v>
      </c>
    </row>
    <row r="34" spans="1:30" x14ac:dyDescent="0.25">
      <c r="A34" t="s">
        <v>34</v>
      </c>
      <c r="B34">
        <v>2013</v>
      </c>
      <c r="C34" t="s">
        <v>45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>
        <v>114.2</v>
      </c>
      <c r="S34">
        <v>111.9</v>
      </c>
      <c r="T34">
        <v>113.8</v>
      </c>
      <c r="U34">
        <v>111.1</v>
      </c>
      <c r="V34">
        <v>111.6</v>
      </c>
      <c r="W34">
        <v>111.1</v>
      </c>
      <c r="X34">
        <v>109.3</v>
      </c>
      <c r="Y34">
        <v>109.5</v>
      </c>
      <c r="Z34">
        <v>108.6</v>
      </c>
      <c r="AA34">
        <v>111.2</v>
      </c>
      <c r="AB34">
        <v>108.1</v>
      </c>
      <c r="AC34">
        <v>109.7</v>
      </c>
      <c r="AD34">
        <v>116.3</v>
      </c>
    </row>
    <row r="35" spans="1:30" x14ac:dyDescent="0.25">
      <c r="A35" t="s">
        <v>30</v>
      </c>
      <c r="B35">
        <v>2013</v>
      </c>
      <c r="C35" t="s">
        <v>46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>
        <v>115.8</v>
      </c>
      <c r="S35">
        <v>114</v>
      </c>
      <c r="T35">
        <v>115.5</v>
      </c>
      <c r="U35" t="s">
        <v>32</v>
      </c>
      <c r="V35">
        <v>112.8</v>
      </c>
      <c r="W35">
        <v>112.1</v>
      </c>
      <c r="X35">
        <v>110.1</v>
      </c>
      <c r="Y35">
        <v>109.9</v>
      </c>
      <c r="Z35">
        <v>109.2</v>
      </c>
      <c r="AA35">
        <v>111.6</v>
      </c>
      <c r="AB35">
        <v>108.1</v>
      </c>
      <c r="AC35">
        <v>110.1</v>
      </c>
      <c r="AD35">
        <v>115.5</v>
      </c>
    </row>
    <row r="36" spans="1:30" x14ac:dyDescent="0.25">
      <c r="A36" t="s">
        <v>33</v>
      </c>
      <c r="B36">
        <v>2013</v>
      </c>
      <c r="C36" t="s">
        <v>46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>
        <v>114.2</v>
      </c>
      <c r="S36">
        <v>110.9</v>
      </c>
      <c r="T36">
        <v>113.7</v>
      </c>
      <c r="U36">
        <v>110.7</v>
      </c>
      <c r="V36">
        <v>110.4</v>
      </c>
      <c r="W36">
        <v>111.3</v>
      </c>
      <c r="X36">
        <v>109</v>
      </c>
      <c r="Y36">
        <v>109.7</v>
      </c>
      <c r="Z36">
        <v>108.9</v>
      </c>
      <c r="AA36">
        <v>111.4</v>
      </c>
      <c r="AB36">
        <v>107.7</v>
      </c>
      <c r="AC36">
        <v>109.8</v>
      </c>
      <c r="AD36">
        <v>113.3</v>
      </c>
    </row>
    <row r="37" spans="1:30" x14ac:dyDescent="0.25">
      <c r="A37" t="s">
        <v>34</v>
      </c>
      <c r="B37">
        <v>2013</v>
      </c>
      <c r="C37" t="s">
        <v>46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>
        <v>115.2</v>
      </c>
      <c r="S37">
        <v>112.7</v>
      </c>
      <c r="T37">
        <v>114.8</v>
      </c>
      <c r="U37">
        <v>110.7</v>
      </c>
      <c r="V37">
        <v>111.9</v>
      </c>
      <c r="W37">
        <v>111.7</v>
      </c>
      <c r="X37">
        <v>109.7</v>
      </c>
      <c r="Y37">
        <v>109.8</v>
      </c>
      <c r="Z37">
        <v>109</v>
      </c>
      <c r="AA37">
        <v>111.5</v>
      </c>
      <c r="AB37">
        <v>107.9</v>
      </c>
      <c r="AC37">
        <v>110</v>
      </c>
      <c r="AD37">
        <v>114.5</v>
      </c>
    </row>
    <row r="38" spans="1:30" x14ac:dyDescent="0.25">
      <c r="A38" t="s">
        <v>30</v>
      </c>
      <c r="B38">
        <v>2014</v>
      </c>
      <c r="C38" t="s">
        <v>31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>
        <v>116.5</v>
      </c>
      <c r="S38">
        <v>114.5</v>
      </c>
      <c r="T38">
        <v>116.2</v>
      </c>
      <c r="U38" t="s">
        <v>32</v>
      </c>
      <c r="V38">
        <v>113</v>
      </c>
      <c r="W38">
        <v>112.6</v>
      </c>
      <c r="X38">
        <v>110.6</v>
      </c>
      <c r="Y38">
        <v>110.5</v>
      </c>
      <c r="Z38">
        <v>109.6</v>
      </c>
      <c r="AA38">
        <v>111.8</v>
      </c>
      <c r="AB38">
        <v>108.3</v>
      </c>
      <c r="AC38">
        <v>110.6</v>
      </c>
      <c r="AD38">
        <v>114.2</v>
      </c>
    </row>
    <row r="39" spans="1:30" x14ac:dyDescent="0.25">
      <c r="A39" t="s">
        <v>33</v>
      </c>
      <c r="B39">
        <v>2014</v>
      </c>
      <c r="C39" t="s">
        <v>31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>
        <v>114.8</v>
      </c>
      <c r="S39">
        <v>111.3</v>
      </c>
      <c r="T39">
        <v>114.3</v>
      </c>
      <c r="U39">
        <v>111.6</v>
      </c>
      <c r="V39">
        <v>111</v>
      </c>
      <c r="W39">
        <v>111.9</v>
      </c>
      <c r="X39">
        <v>109.7</v>
      </c>
      <c r="Y39">
        <v>110.8</v>
      </c>
      <c r="Z39">
        <v>109.8</v>
      </c>
      <c r="AA39">
        <v>111.5</v>
      </c>
      <c r="AB39">
        <v>108</v>
      </c>
      <c r="AC39">
        <v>110.5</v>
      </c>
      <c r="AD39">
        <v>112.9</v>
      </c>
    </row>
    <row r="40" spans="1:30" x14ac:dyDescent="0.25">
      <c r="A40" t="s">
        <v>34</v>
      </c>
      <c r="B40">
        <v>2014</v>
      </c>
      <c r="C40" t="s">
        <v>31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>
        <v>115.8</v>
      </c>
      <c r="S40">
        <v>113.2</v>
      </c>
      <c r="T40">
        <v>115.4</v>
      </c>
      <c r="U40">
        <v>111.6</v>
      </c>
      <c r="V40">
        <v>112.2</v>
      </c>
      <c r="W40">
        <v>112.3</v>
      </c>
      <c r="X40">
        <v>110.3</v>
      </c>
      <c r="Y40">
        <v>110.7</v>
      </c>
      <c r="Z40">
        <v>109.7</v>
      </c>
      <c r="AA40">
        <v>111.6</v>
      </c>
      <c r="AB40">
        <v>108.2</v>
      </c>
      <c r="AC40">
        <v>110.6</v>
      </c>
      <c r="AD40">
        <v>113.6</v>
      </c>
    </row>
    <row r="41" spans="1:30" x14ac:dyDescent="0.25">
      <c r="A41" t="s">
        <v>30</v>
      </c>
      <c r="B41">
        <v>2014</v>
      </c>
      <c r="C41" t="s">
        <v>35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>
        <v>117.1</v>
      </c>
      <c r="S41">
        <v>114.5</v>
      </c>
      <c r="T41">
        <v>116.7</v>
      </c>
      <c r="U41" t="s">
        <v>32</v>
      </c>
      <c r="V41">
        <v>113.2</v>
      </c>
      <c r="W41">
        <v>112.9</v>
      </c>
      <c r="X41">
        <v>110.9</v>
      </c>
      <c r="Y41">
        <v>110.8</v>
      </c>
      <c r="Z41">
        <v>109.9</v>
      </c>
      <c r="AA41">
        <v>112</v>
      </c>
      <c r="AB41">
        <v>108.7</v>
      </c>
      <c r="AC41">
        <v>110.9</v>
      </c>
      <c r="AD41">
        <v>114</v>
      </c>
    </row>
    <row r="42" spans="1:30" x14ac:dyDescent="0.25">
      <c r="A42" t="s">
        <v>33</v>
      </c>
      <c r="B42">
        <v>2014</v>
      </c>
      <c r="C42" t="s">
        <v>35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>
        <v>115.3</v>
      </c>
      <c r="S42">
        <v>111.7</v>
      </c>
      <c r="T42">
        <v>114.7</v>
      </c>
      <c r="U42">
        <v>112.5</v>
      </c>
      <c r="V42">
        <v>111.1</v>
      </c>
      <c r="W42">
        <v>112.6</v>
      </c>
      <c r="X42">
        <v>110.4</v>
      </c>
      <c r="Y42">
        <v>111.3</v>
      </c>
      <c r="Z42">
        <v>110.3</v>
      </c>
      <c r="AA42">
        <v>111.6</v>
      </c>
      <c r="AB42">
        <v>108.7</v>
      </c>
      <c r="AC42">
        <v>111</v>
      </c>
      <c r="AD42">
        <v>113.1</v>
      </c>
    </row>
    <row r="43" spans="1:30" x14ac:dyDescent="0.25">
      <c r="A43" t="s">
        <v>34</v>
      </c>
      <c r="B43">
        <v>2014</v>
      </c>
      <c r="C43" t="s">
        <v>35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>
        <v>116.4</v>
      </c>
      <c r="S43">
        <v>113.3</v>
      </c>
      <c r="T43">
        <v>115.9</v>
      </c>
      <c r="U43">
        <v>112.5</v>
      </c>
      <c r="V43">
        <v>112.4</v>
      </c>
      <c r="W43">
        <v>112.8</v>
      </c>
      <c r="X43">
        <v>110.7</v>
      </c>
      <c r="Y43">
        <v>111.1</v>
      </c>
      <c r="Z43">
        <v>110.1</v>
      </c>
      <c r="AA43">
        <v>111.8</v>
      </c>
      <c r="AB43">
        <v>108.7</v>
      </c>
      <c r="AC43">
        <v>110.9</v>
      </c>
      <c r="AD43">
        <v>113.6</v>
      </c>
    </row>
    <row r="44" spans="1:30" x14ac:dyDescent="0.25">
      <c r="A44" t="s">
        <v>30</v>
      </c>
      <c r="B44">
        <v>2014</v>
      </c>
      <c r="C44" t="s">
        <v>36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>
        <v>117.5</v>
      </c>
      <c r="S44">
        <v>114.9</v>
      </c>
      <c r="T44">
        <v>117.2</v>
      </c>
      <c r="U44" t="s">
        <v>32</v>
      </c>
      <c r="V44">
        <v>113.4</v>
      </c>
      <c r="W44">
        <v>113.4</v>
      </c>
      <c r="X44">
        <v>111.4</v>
      </c>
      <c r="Y44">
        <v>111.2</v>
      </c>
      <c r="Z44">
        <v>110.2</v>
      </c>
      <c r="AA44">
        <v>112.4</v>
      </c>
      <c r="AB44">
        <v>108.9</v>
      </c>
      <c r="AC44">
        <v>111.3</v>
      </c>
      <c r="AD44">
        <v>114.6</v>
      </c>
    </row>
    <row r="45" spans="1:30" x14ac:dyDescent="0.25">
      <c r="A45" t="s">
        <v>33</v>
      </c>
      <c r="B45">
        <v>2014</v>
      </c>
      <c r="C45" t="s">
        <v>36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>
        <v>115.8</v>
      </c>
      <c r="S45">
        <v>112.1</v>
      </c>
      <c r="T45">
        <v>115.2</v>
      </c>
      <c r="U45">
        <v>113.2</v>
      </c>
      <c r="V45">
        <v>110.9</v>
      </c>
      <c r="W45">
        <v>113</v>
      </c>
      <c r="X45">
        <v>110.8</v>
      </c>
      <c r="Y45">
        <v>111.6</v>
      </c>
      <c r="Z45">
        <v>110.9</v>
      </c>
      <c r="AA45">
        <v>111.8</v>
      </c>
      <c r="AB45">
        <v>109.2</v>
      </c>
      <c r="AC45">
        <v>111.4</v>
      </c>
      <c r="AD45">
        <v>113.7</v>
      </c>
    </row>
    <row r="46" spans="1:30" x14ac:dyDescent="0.25">
      <c r="A46" t="s">
        <v>34</v>
      </c>
      <c r="B46">
        <v>2014</v>
      </c>
      <c r="C46" t="s">
        <v>36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>
        <v>116.8</v>
      </c>
      <c r="S46">
        <v>113.7</v>
      </c>
      <c r="T46">
        <v>116.4</v>
      </c>
      <c r="U46">
        <v>113.2</v>
      </c>
      <c r="V46">
        <v>112.5</v>
      </c>
      <c r="W46">
        <v>113.2</v>
      </c>
      <c r="X46">
        <v>111.2</v>
      </c>
      <c r="Y46">
        <v>111.4</v>
      </c>
      <c r="Z46">
        <v>110.6</v>
      </c>
      <c r="AA46">
        <v>112</v>
      </c>
      <c r="AB46">
        <v>109</v>
      </c>
      <c r="AC46">
        <v>111.3</v>
      </c>
      <c r="AD46">
        <v>114.2</v>
      </c>
    </row>
    <row r="47" spans="1:30" x14ac:dyDescent="0.25">
      <c r="A47" t="s">
        <v>30</v>
      </c>
      <c r="B47">
        <v>2014</v>
      </c>
      <c r="C47" t="s">
        <v>37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>
        <v>118.1</v>
      </c>
      <c r="S47">
        <v>116.1</v>
      </c>
      <c r="T47">
        <v>117.8</v>
      </c>
      <c r="U47" t="s">
        <v>32</v>
      </c>
      <c r="V47">
        <v>113.4</v>
      </c>
      <c r="W47">
        <v>113.7</v>
      </c>
      <c r="X47">
        <v>111.8</v>
      </c>
      <c r="Y47">
        <v>111.2</v>
      </c>
      <c r="Z47">
        <v>110.5</v>
      </c>
      <c r="AA47">
        <v>113</v>
      </c>
      <c r="AB47">
        <v>108.9</v>
      </c>
      <c r="AC47">
        <v>111.5</v>
      </c>
      <c r="AD47">
        <v>115.4</v>
      </c>
    </row>
    <row r="48" spans="1:30" x14ac:dyDescent="0.25">
      <c r="A48" t="s">
        <v>33</v>
      </c>
      <c r="B48">
        <v>2014</v>
      </c>
      <c r="C48" t="s">
        <v>37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>
        <v>116.3</v>
      </c>
      <c r="S48">
        <v>112.5</v>
      </c>
      <c r="T48">
        <v>115.7</v>
      </c>
      <c r="U48">
        <v>113.9</v>
      </c>
      <c r="V48">
        <v>110.9</v>
      </c>
      <c r="W48">
        <v>113.4</v>
      </c>
      <c r="X48">
        <v>111</v>
      </c>
      <c r="Y48">
        <v>111.2</v>
      </c>
      <c r="Z48">
        <v>111.2</v>
      </c>
      <c r="AA48">
        <v>112.5</v>
      </c>
      <c r="AB48">
        <v>109.1</v>
      </c>
      <c r="AC48">
        <v>111.4</v>
      </c>
      <c r="AD48">
        <v>114.7</v>
      </c>
    </row>
    <row r="49" spans="1:30" x14ac:dyDescent="0.25">
      <c r="A49" t="s">
        <v>34</v>
      </c>
      <c r="B49">
        <v>2014</v>
      </c>
      <c r="C49" t="s">
        <v>37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>
        <v>117.4</v>
      </c>
      <c r="S49">
        <v>114.6</v>
      </c>
      <c r="T49">
        <v>117</v>
      </c>
      <c r="U49">
        <v>113.9</v>
      </c>
      <c r="V49">
        <v>112.5</v>
      </c>
      <c r="W49">
        <v>113.6</v>
      </c>
      <c r="X49">
        <v>111.5</v>
      </c>
      <c r="Y49">
        <v>111.2</v>
      </c>
      <c r="Z49">
        <v>110.9</v>
      </c>
      <c r="AA49">
        <v>112.7</v>
      </c>
      <c r="AB49">
        <v>109</v>
      </c>
      <c r="AC49">
        <v>111.5</v>
      </c>
      <c r="AD49">
        <v>115.1</v>
      </c>
    </row>
    <row r="50" spans="1:30" x14ac:dyDescent="0.25">
      <c r="A50" t="s">
        <v>30</v>
      </c>
      <c r="B50">
        <v>2014</v>
      </c>
      <c r="C50" t="s">
        <v>38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>
        <v>118.7</v>
      </c>
      <c r="S50">
        <v>116.8</v>
      </c>
      <c r="T50">
        <v>118.5</v>
      </c>
      <c r="U50" t="s">
        <v>32</v>
      </c>
      <c r="V50">
        <v>113.4</v>
      </c>
      <c r="W50">
        <v>114.1</v>
      </c>
      <c r="X50">
        <v>112.1</v>
      </c>
      <c r="Y50">
        <v>111.4</v>
      </c>
      <c r="Z50">
        <v>110.9</v>
      </c>
      <c r="AA50">
        <v>113.1</v>
      </c>
      <c r="AB50">
        <v>108.9</v>
      </c>
      <c r="AC50">
        <v>111.8</v>
      </c>
      <c r="AD50">
        <v>116</v>
      </c>
    </row>
    <row r="51" spans="1:30" x14ac:dyDescent="0.25">
      <c r="A51" t="s">
        <v>33</v>
      </c>
      <c r="B51">
        <v>2014</v>
      </c>
      <c r="C51" t="s">
        <v>38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>
        <v>116.8</v>
      </c>
      <c r="S51">
        <v>112.9</v>
      </c>
      <c r="T51">
        <v>116.2</v>
      </c>
      <c r="U51">
        <v>114.3</v>
      </c>
      <c r="V51">
        <v>111.1</v>
      </c>
      <c r="W51">
        <v>114.1</v>
      </c>
      <c r="X51">
        <v>111.2</v>
      </c>
      <c r="Y51">
        <v>111.3</v>
      </c>
      <c r="Z51">
        <v>111.5</v>
      </c>
      <c r="AA51">
        <v>112.9</v>
      </c>
      <c r="AB51">
        <v>109.3</v>
      </c>
      <c r="AC51">
        <v>111.7</v>
      </c>
      <c r="AD51">
        <v>115.6</v>
      </c>
    </row>
    <row r="52" spans="1:30" x14ac:dyDescent="0.25">
      <c r="A52" t="s">
        <v>34</v>
      </c>
      <c r="B52">
        <v>2014</v>
      </c>
      <c r="C52" t="s">
        <v>38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>
        <v>118</v>
      </c>
      <c r="S52">
        <v>115.2</v>
      </c>
      <c r="T52">
        <v>117.6</v>
      </c>
      <c r="U52">
        <v>114.3</v>
      </c>
      <c r="V52">
        <v>112.5</v>
      </c>
      <c r="W52">
        <v>114.1</v>
      </c>
      <c r="X52">
        <v>111.8</v>
      </c>
      <c r="Y52">
        <v>111.3</v>
      </c>
      <c r="Z52">
        <v>111.2</v>
      </c>
      <c r="AA52">
        <v>113</v>
      </c>
      <c r="AB52">
        <v>109.1</v>
      </c>
      <c r="AC52">
        <v>111.8</v>
      </c>
      <c r="AD52">
        <v>115.8</v>
      </c>
    </row>
    <row r="53" spans="1:30" x14ac:dyDescent="0.25">
      <c r="A53" t="s">
        <v>30</v>
      </c>
      <c r="B53">
        <v>2014</v>
      </c>
      <c r="C53" t="s">
        <v>39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>
        <v>119.7</v>
      </c>
      <c r="S53">
        <v>117.3</v>
      </c>
      <c r="T53">
        <v>119.3</v>
      </c>
      <c r="U53" t="s">
        <v>32</v>
      </c>
      <c r="V53">
        <v>114.4</v>
      </c>
      <c r="W53">
        <v>114.9</v>
      </c>
      <c r="X53">
        <v>112.8</v>
      </c>
      <c r="Y53">
        <v>112.2</v>
      </c>
      <c r="Z53">
        <v>111.4</v>
      </c>
      <c r="AA53">
        <v>114.3</v>
      </c>
      <c r="AB53">
        <v>108</v>
      </c>
      <c r="AC53">
        <v>112.3</v>
      </c>
      <c r="AD53">
        <v>117</v>
      </c>
    </row>
    <row r="54" spans="1:30" x14ac:dyDescent="0.25">
      <c r="A54" t="s">
        <v>33</v>
      </c>
      <c r="B54">
        <v>2014</v>
      </c>
      <c r="C54" t="s">
        <v>39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>
        <v>117.4</v>
      </c>
      <c r="S54">
        <v>113.2</v>
      </c>
      <c r="T54">
        <v>116.7</v>
      </c>
      <c r="U54">
        <v>113.9</v>
      </c>
      <c r="V54">
        <v>111.2</v>
      </c>
      <c r="W54">
        <v>114.3</v>
      </c>
      <c r="X54">
        <v>111.4</v>
      </c>
      <c r="Y54">
        <v>111.5</v>
      </c>
      <c r="Z54">
        <v>111.8</v>
      </c>
      <c r="AA54">
        <v>115.1</v>
      </c>
      <c r="AB54">
        <v>108.7</v>
      </c>
      <c r="AC54">
        <v>112.2</v>
      </c>
      <c r="AD54">
        <v>116.4</v>
      </c>
    </row>
    <row r="55" spans="1:30" x14ac:dyDescent="0.25">
      <c r="A55" t="s">
        <v>34</v>
      </c>
      <c r="B55">
        <v>2014</v>
      </c>
      <c r="C55" t="s">
        <v>39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>
        <v>118.8</v>
      </c>
      <c r="S55">
        <v>115.6</v>
      </c>
      <c r="T55">
        <v>118.3</v>
      </c>
      <c r="U55">
        <v>113.9</v>
      </c>
      <c r="V55">
        <v>113.2</v>
      </c>
      <c r="W55">
        <v>114.6</v>
      </c>
      <c r="X55">
        <v>112.3</v>
      </c>
      <c r="Y55">
        <v>111.8</v>
      </c>
      <c r="Z55">
        <v>111.6</v>
      </c>
      <c r="AA55">
        <v>114.8</v>
      </c>
      <c r="AB55">
        <v>108.3</v>
      </c>
      <c r="AC55">
        <v>112.3</v>
      </c>
      <c r="AD55">
        <v>116.7</v>
      </c>
    </row>
    <row r="56" spans="1:30" x14ac:dyDescent="0.25">
      <c r="A56" t="s">
        <v>30</v>
      </c>
      <c r="B56">
        <v>2014</v>
      </c>
      <c r="C56" t="s">
        <v>40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>
        <v>120.7</v>
      </c>
      <c r="S56">
        <v>118.3</v>
      </c>
      <c r="T56">
        <v>120.3</v>
      </c>
      <c r="U56" t="s">
        <v>32</v>
      </c>
      <c r="V56">
        <v>115.3</v>
      </c>
      <c r="W56">
        <v>115.4</v>
      </c>
      <c r="X56">
        <v>113.4</v>
      </c>
      <c r="Y56">
        <v>113.2</v>
      </c>
      <c r="Z56">
        <v>111.8</v>
      </c>
      <c r="AA56">
        <v>115.5</v>
      </c>
      <c r="AB56">
        <v>108.8</v>
      </c>
      <c r="AC56">
        <v>113.1</v>
      </c>
      <c r="AD56">
        <v>119.5</v>
      </c>
    </row>
    <row r="57" spans="1:30" x14ac:dyDescent="0.25">
      <c r="A57" t="s">
        <v>33</v>
      </c>
      <c r="B57">
        <v>2014</v>
      </c>
      <c r="C57" t="s">
        <v>40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>
        <v>118</v>
      </c>
      <c r="S57">
        <v>113.6</v>
      </c>
      <c r="T57">
        <v>117.4</v>
      </c>
      <c r="U57">
        <v>114.8</v>
      </c>
      <c r="V57">
        <v>111.6</v>
      </c>
      <c r="W57">
        <v>114.9</v>
      </c>
      <c r="X57">
        <v>111.5</v>
      </c>
      <c r="Y57">
        <v>113</v>
      </c>
      <c r="Z57">
        <v>112.4</v>
      </c>
      <c r="AA57">
        <v>117.8</v>
      </c>
      <c r="AB57">
        <v>109.7</v>
      </c>
      <c r="AC57">
        <v>113.5</v>
      </c>
      <c r="AD57">
        <v>118.9</v>
      </c>
    </row>
    <row r="58" spans="1:30" x14ac:dyDescent="0.25">
      <c r="A58" t="s">
        <v>34</v>
      </c>
      <c r="B58">
        <v>2014</v>
      </c>
      <c r="C58" t="s">
        <v>40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>
        <v>119.6</v>
      </c>
      <c r="S58">
        <v>116.3</v>
      </c>
      <c r="T58">
        <v>119.1</v>
      </c>
      <c r="U58">
        <v>114.8</v>
      </c>
      <c r="V58">
        <v>113.9</v>
      </c>
      <c r="W58">
        <v>115.2</v>
      </c>
      <c r="X58">
        <v>112.7</v>
      </c>
      <c r="Y58">
        <v>113.1</v>
      </c>
      <c r="Z58">
        <v>112.1</v>
      </c>
      <c r="AA58">
        <v>116.8</v>
      </c>
      <c r="AB58">
        <v>109.2</v>
      </c>
      <c r="AC58">
        <v>113.3</v>
      </c>
      <c r="AD58">
        <v>119.2</v>
      </c>
    </row>
    <row r="59" spans="1:30" x14ac:dyDescent="0.25">
      <c r="A59" t="s">
        <v>30</v>
      </c>
      <c r="B59">
        <v>2014</v>
      </c>
      <c r="C59" t="s">
        <v>41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>
        <v>120.9</v>
      </c>
      <c r="S59">
        <v>118.8</v>
      </c>
      <c r="T59">
        <v>120.7</v>
      </c>
      <c r="U59" t="s">
        <v>32</v>
      </c>
      <c r="V59">
        <v>115.4</v>
      </c>
      <c r="W59">
        <v>115.9</v>
      </c>
      <c r="X59">
        <v>114</v>
      </c>
      <c r="Y59">
        <v>113.2</v>
      </c>
      <c r="Z59">
        <v>112.2</v>
      </c>
      <c r="AA59">
        <v>116.2</v>
      </c>
      <c r="AB59">
        <v>109.4</v>
      </c>
      <c r="AC59">
        <v>113.5</v>
      </c>
      <c r="AD59">
        <v>120.7</v>
      </c>
    </row>
    <row r="60" spans="1:30" x14ac:dyDescent="0.25">
      <c r="A60" t="s">
        <v>33</v>
      </c>
      <c r="B60">
        <v>2014</v>
      </c>
      <c r="C60" t="s">
        <v>41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>
        <v>118.6</v>
      </c>
      <c r="S60">
        <v>114.1</v>
      </c>
      <c r="T60">
        <v>117.9</v>
      </c>
      <c r="U60">
        <v>115.5</v>
      </c>
      <c r="V60">
        <v>111.8</v>
      </c>
      <c r="W60">
        <v>115.3</v>
      </c>
      <c r="X60">
        <v>112.2</v>
      </c>
      <c r="Y60">
        <v>112.5</v>
      </c>
      <c r="Z60">
        <v>112.9</v>
      </c>
      <c r="AA60">
        <v>119.2</v>
      </c>
      <c r="AB60">
        <v>110.5</v>
      </c>
      <c r="AC60">
        <v>113.9</v>
      </c>
      <c r="AD60">
        <v>119.9</v>
      </c>
    </row>
    <row r="61" spans="1:30" x14ac:dyDescent="0.25">
      <c r="A61" t="s">
        <v>34</v>
      </c>
      <c r="B61">
        <v>2014</v>
      </c>
      <c r="C61" t="s">
        <v>41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>
        <v>120</v>
      </c>
      <c r="S61">
        <v>116.8</v>
      </c>
      <c r="T61">
        <v>119.6</v>
      </c>
      <c r="U61">
        <v>115.5</v>
      </c>
      <c r="V61">
        <v>114</v>
      </c>
      <c r="W61">
        <v>115.6</v>
      </c>
      <c r="X61">
        <v>113.3</v>
      </c>
      <c r="Y61">
        <v>112.8</v>
      </c>
      <c r="Z61">
        <v>112.6</v>
      </c>
      <c r="AA61">
        <v>118</v>
      </c>
      <c r="AB61">
        <v>109.9</v>
      </c>
      <c r="AC61">
        <v>113.7</v>
      </c>
      <c r="AD61">
        <v>120.3</v>
      </c>
    </row>
    <row r="62" spans="1:30" x14ac:dyDescent="0.25">
      <c r="A62" t="s">
        <v>30</v>
      </c>
      <c r="B62">
        <v>2014</v>
      </c>
      <c r="C62" t="s">
        <v>42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>
        <v>121.7</v>
      </c>
      <c r="S62">
        <v>119.2</v>
      </c>
      <c r="T62">
        <v>121.3</v>
      </c>
      <c r="U62" t="s">
        <v>32</v>
      </c>
      <c r="V62">
        <v>115.8</v>
      </c>
      <c r="W62">
        <v>116.7</v>
      </c>
      <c r="X62">
        <v>114.5</v>
      </c>
      <c r="Y62">
        <v>112.8</v>
      </c>
      <c r="Z62">
        <v>112.6</v>
      </c>
      <c r="AA62">
        <v>116.6</v>
      </c>
      <c r="AB62">
        <v>109.1</v>
      </c>
      <c r="AC62">
        <v>113.7</v>
      </c>
      <c r="AD62">
        <v>120.9</v>
      </c>
    </row>
    <row r="63" spans="1:30" x14ac:dyDescent="0.25">
      <c r="A63" t="s">
        <v>33</v>
      </c>
      <c r="B63">
        <v>2014</v>
      </c>
      <c r="C63" t="s">
        <v>42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>
        <v>119.2</v>
      </c>
      <c r="S63">
        <v>114.5</v>
      </c>
      <c r="T63">
        <v>118.4</v>
      </c>
      <c r="U63">
        <v>116.1</v>
      </c>
      <c r="V63">
        <v>111.8</v>
      </c>
      <c r="W63">
        <v>115.5</v>
      </c>
      <c r="X63">
        <v>112.3</v>
      </c>
      <c r="Y63">
        <v>111.2</v>
      </c>
      <c r="Z63">
        <v>113.4</v>
      </c>
      <c r="AA63">
        <v>120</v>
      </c>
      <c r="AB63">
        <v>110</v>
      </c>
      <c r="AC63">
        <v>113.6</v>
      </c>
      <c r="AD63">
        <v>119.2</v>
      </c>
    </row>
    <row r="64" spans="1:30" x14ac:dyDescent="0.25">
      <c r="A64" t="s">
        <v>34</v>
      </c>
      <c r="B64">
        <v>2014</v>
      </c>
      <c r="C64" t="s">
        <v>42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>
        <v>120.7</v>
      </c>
      <c r="S64">
        <v>117.2</v>
      </c>
      <c r="T64">
        <v>120.1</v>
      </c>
      <c r="U64">
        <v>116.1</v>
      </c>
      <c r="V64">
        <v>114.3</v>
      </c>
      <c r="W64">
        <v>116.1</v>
      </c>
      <c r="X64">
        <v>113.7</v>
      </c>
      <c r="Y64">
        <v>112</v>
      </c>
      <c r="Z64">
        <v>113.1</v>
      </c>
      <c r="AA64">
        <v>118.6</v>
      </c>
      <c r="AB64">
        <v>109.5</v>
      </c>
      <c r="AC64">
        <v>113.7</v>
      </c>
      <c r="AD64">
        <v>120.1</v>
      </c>
    </row>
    <row r="65" spans="1:30" x14ac:dyDescent="0.25">
      <c r="A65" t="s">
        <v>30</v>
      </c>
      <c r="B65">
        <v>2014</v>
      </c>
      <c r="C65" t="s">
        <v>43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>
        <v>122.7</v>
      </c>
      <c r="S65">
        <v>120.3</v>
      </c>
      <c r="T65">
        <v>122.3</v>
      </c>
      <c r="U65" t="s">
        <v>32</v>
      </c>
      <c r="V65">
        <v>116.4</v>
      </c>
      <c r="W65">
        <v>117.5</v>
      </c>
      <c r="X65">
        <v>115.3</v>
      </c>
      <c r="Y65">
        <v>112.6</v>
      </c>
      <c r="Z65">
        <v>113</v>
      </c>
      <c r="AA65">
        <v>116.9</v>
      </c>
      <c r="AB65">
        <v>109.3</v>
      </c>
      <c r="AC65">
        <v>114</v>
      </c>
      <c r="AD65">
        <v>121</v>
      </c>
    </row>
    <row r="66" spans="1:30" x14ac:dyDescent="0.25">
      <c r="A66" t="s">
        <v>33</v>
      </c>
      <c r="B66">
        <v>2014</v>
      </c>
      <c r="C66" t="s">
        <v>43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>
        <v>119.6</v>
      </c>
      <c r="S66">
        <v>114.9</v>
      </c>
      <c r="T66">
        <v>118.9</v>
      </c>
      <c r="U66">
        <v>116.7</v>
      </c>
      <c r="V66">
        <v>112</v>
      </c>
      <c r="W66">
        <v>115.8</v>
      </c>
      <c r="X66">
        <v>112.6</v>
      </c>
      <c r="Y66">
        <v>111</v>
      </c>
      <c r="Z66">
        <v>113.6</v>
      </c>
      <c r="AA66">
        <v>120.2</v>
      </c>
      <c r="AB66">
        <v>110.1</v>
      </c>
      <c r="AC66">
        <v>113.7</v>
      </c>
      <c r="AD66">
        <v>119.1</v>
      </c>
    </row>
    <row r="67" spans="1:30" x14ac:dyDescent="0.25">
      <c r="A67" t="s">
        <v>34</v>
      </c>
      <c r="B67">
        <v>2014</v>
      </c>
      <c r="C67" t="s">
        <v>43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>
        <v>121.5</v>
      </c>
      <c r="S67">
        <v>118.1</v>
      </c>
      <c r="T67">
        <v>121</v>
      </c>
      <c r="U67">
        <v>116.7</v>
      </c>
      <c r="V67">
        <v>114.7</v>
      </c>
      <c r="W67">
        <v>116.7</v>
      </c>
      <c r="X67">
        <v>114.3</v>
      </c>
      <c r="Y67">
        <v>111.8</v>
      </c>
      <c r="Z67">
        <v>113.3</v>
      </c>
      <c r="AA67">
        <v>118.8</v>
      </c>
      <c r="AB67">
        <v>109.6</v>
      </c>
      <c r="AC67">
        <v>113.9</v>
      </c>
      <c r="AD67">
        <v>120.1</v>
      </c>
    </row>
    <row r="68" spans="1:30" x14ac:dyDescent="0.25">
      <c r="A68" t="s">
        <v>30</v>
      </c>
      <c r="B68">
        <v>2014</v>
      </c>
      <c r="C68" t="s">
        <v>45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>
        <v>123.3</v>
      </c>
      <c r="S68">
        <v>120.5</v>
      </c>
      <c r="T68">
        <v>122.9</v>
      </c>
      <c r="U68" t="s">
        <v>32</v>
      </c>
      <c r="V68">
        <v>117.3</v>
      </c>
      <c r="W68">
        <v>118.1</v>
      </c>
      <c r="X68">
        <v>115.9</v>
      </c>
      <c r="Y68">
        <v>112</v>
      </c>
      <c r="Z68">
        <v>113.3</v>
      </c>
      <c r="AA68">
        <v>117.2</v>
      </c>
      <c r="AB68">
        <v>108.8</v>
      </c>
      <c r="AC68">
        <v>114.1</v>
      </c>
      <c r="AD68">
        <v>121.1</v>
      </c>
    </row>
    <row r="69" spans="1:30" x14ac:dyDescent="0.25">
      <c r="A69" t="s">
        <v>33</v>
      </c>
      <c r="B69">
        <v>2014</v>
      </c>
      <c r="C69" t="s">
        <v>45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>
        <v>120.3</v>
      </c>
      <c r="S69">
        <v>115.4</v>
      </c>
      <c r="T69">
        <v>119.5</v>
      </c>
      <c r="U69">
        <v>117.1</v>
      </c>
      <c r="V69">
        <v>112.6</v>
      </c>
      <c r="W69">
        <v>116.4</v>
      </c>
      <c r="X69">
        <v>113</v>
      </c>
      <c r="Y69">
        <v>109.7</v>
      </c>
      <c r="Z69">
        <v>114</v>
      </c>
      <c r="AA69">
        <v>120.3</v>
      </c>
      <c r="AB69">
        <v>109.6</v>
      </c>
      <c r="AC69">
        <v>113.4</v>
      </c>
      <c r="AD69">
        <v>119</v>
      </c>
    </row>
    <row r="70" spans="1:30" x14ac:dyDescent="0.25">
      <c r="A70" t="s">
        <v>34</v>
      </c>
      <c r="B70">
        <v>2014</v>
      </c>
      <c r="C70" t="s">
        <v>45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>
        <v>122.1</v>
      </c>
      <c r="S70">
        <v>118.4</v>
      </c>
      <c r="T70">
        <v>121.6</v>
      </c>
      <c r="U70">
        <v>117.1</v>
      </c>
      <c r="V70">
        <v>115.5</v>
      </c>
      <c r="W70">
        <v>117.3</v>
      </c>
      <c r="X70">
        <v>114.8</v>
      </c>
      <c r="Y70">
        <v>110.8</v>
      </c>
      <c r="Z70">
        <v>113.7</v>
      </c>
      <c r="AA70">
        <v>119</v>
      </c>
      <c r="AB70">
        <v>109.1</v>
      </c>
      <c r="AC70">
        <v>113.8</v>
      </c>
      <c r="AD70">
        <v>120.1</v>
      </c>
    </row>
    <row r="71" spans="1:30" x14ac:dyDescent="0.25">
      <c r="A71" t="s">
        <v>30</v>
      </c>
      <c r="B71">
        <v>2014</v>
      </c>
      <c r="C71" t="s">
        <v>46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>
        <v>123.8</v>
      </c>
      <c r="S71">
        <v>120.6</v>
      </c>
      <c r="T71">
        <v>123.3</v>
      </c>
      <c r="U71" t="s">
        <v>32</v>
      </c>
      <c r="V71">
        <v>117.4</v>
      </c>
      <c r="W71">
        <v>118.2</v>
      </c>
      <c r="X71">
        <v>116.2</v>
      </c>
      <c r="Y71">
        <v>111.5</v>
      </c>
      <c r="Z71">
        <v>113.3</v>
      </c>
      <c r="AA71">
        <v>117.7</v>
      </c>
      <c r="AB71">
        <v>109.4</v>
      </c>
      <c r="AC71">
        <v>114.2</v>
      </c>
      <c r="AD71">
        <v>120.3</v>
      </c>
    </row>
    <row r="72" spans="1:30" x14ac:dyDescent="0.25">
      <c r="A72" t="s">
        <v>33</v>
      </c>
      <c r="B72">
        <v>2014</v>
      </c>
      <c r="C72" t="s">
        <v>46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>
        <v>120.7</v>
      </c>
      <c r="S72">
        <v>115.8</v>
      </c>
      <c r="T72">
        <v>120</v>
      </c>
      <c r="U72">
        <v>116.5</v>
      </c>
      <c r="V72">
        <v>113</v>
      </c>
      <c r="W72">
        <v>116.8</v>
      </c>
      <c r="X72">
        <v>113.2</v>
      </c>
      <c r="Y72">
        <v>108.8</v>
      </c>
      <c r="Z72">
        <v>114.3</v>
      </c>
      <c r="AA72">
        <v>120.7</v>
      </c>
      <c r="AB72">
        <v>110.4</v>
      </c>
      <c r="AC72">
        <v>113.4</v>
      </c>
      <c r="AD72">
        <v>118.4</v>
      </c>
    </row>
    <row r="73" spans="1:30" x14ac:dyDescent="0.25">
      <c r="A73" t="s">
        <v>34</v>
      </c>
      <c r="B73">
        <v>2014</v>
      </c>
      <c r="C73" t="s">
        <v>46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>
        <v>122.6</v>
      </c>
      <c r="S73">
        <v>118.6</v>
      </c>
      <c r="T73">
        <v>122</v>
      </c>
      <c r="U73">
        <v>116.5</v>
      </c>
      <c r="V73">
        <v>115.7</v>
      </c>
      <c r="W73">
        <v>117.5</v>
      </c>
      <c r="X73">
        <v>115.1</v>
      </c>
      <c r="Y73">
        <v>110.1</v>
      </c>
      <c r="Z73">
        <v>113.9</v>
      </c>
      <c r="AA73">
        <v>119.5</v>
      </c>
      <c r="AB73">
        <v>109.8</v>
      </c>
      <c r="AC73">
        <v>113.8</v>
      </c>
      <c r="AD73">
        <v>119.4</v>
      </c>
    </row>
    <row r="74" spans="1:30" x14ac:dyDescent="0.25">
      <c r="A74" t="s">
        <v>30</v>
      </c>
      <c r="B74">
        <v>2015</v>
      </c>
      <c r="C74" t="s">
        <v>31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>
        <v>124.4</v>
      </c>
      <c r="S74">
        <v>121.6</v>
      </c>
      <c r="T74">
        <v>124</v>
      </c>
      <c r="U74" t="s">
        <v>32</v>
      </c>
      <c r="V74">
        <v>118.4</v>
      </c>
      <c r="W74">
        <v>118.9</v>
      </c>
      <c r="X74">
        <v>116.6</v>
      </c>
      <c r="Y74">
        <v>111</v>
      </c>
      <c r="Z74">
        <v>114</v>
      </c>
      <c r="AA74">
        <v>118.2</v>
      </c>
      <c r="AB74">
        <v>110.2</v>
      </c>
      <c r="AC74">
        <v>114.5</v>
      </c>
      <c r="AD74">
        <v>120.3</v>
      </c>
    </row>
    <row r="75" spans="1:30" x14ac:dyDescent="0.25">
      <c r="A75" t="s">
        <v>33</v>
      </c>
      <c r="B75">
        <v>2015</v>
      </c>
      <c r="C75" t="s">
        <v>31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>
        <v>121</v>
      </c>
      <c r="S75">
        <v>116.1</v>
      </c>
      <c r="T75">
        <v>120.2</v>
      </c>
      <c r="U75">
        <v>117.3</v>
      </c>
      <c r="V75">
        <v>113.4</v>
      </c>
      <c r="W75">
        <v>117.2</v>
      </c>
      <c r="X75">
        <v>113.7</v>
      </c>
      <c r="Y75">
        <v>107.9</v>
      </c>
      <c r="Z75">
        <v>114.6</v>
      </c>
      <c r="AA75">
        <v>120.8</v>
      </c>
      <c r="AB75">
        <v>111.4</v>
      </c>
      <c r="AC75">
        <v>113.4</v>
      </c>
      <c r="AD75">
        <v>118.5</v>
      </c>
    </row>
    <row r="76" spans="1:30" x14ac:dyDescent="0.25">
      <c r="A76" t="s">
        <v>34</v>
      </c>
      <c r="B76">
        <v>2015</v>
      </c>
      <c r="C76" t="s">
        <v>31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>
        <v>123.1</v>
      </c>
      <c r="S76">
        <v>119.3</v>
      </c>
      <c r="T76">
        <v>122.5</v>
      </c>
      <c r="U76">
        <v>117.3</v>
      </c>
      <c r="V76">
        <v>116.5</v>
      </c>
      <c r="W76">
        <v>118.1</v>
      </c>
      <c r="X76">
        <v>115.5</v>
      </c>
      <c r="Y76">
        <v>109.4</v>
      </c>
      <c r="Z76">
        <v>114.3</v>
      </c>
      <c r="AA76">
        <v>119.7</v>
      </c>
      <c r="AB76">
        <v>110.7</v>
      </c>
      <c r="AC76">
        <v>114</v>
      </c>
      <c r="AD76">
        <v>119.5</v>
      </c>
    </row>
    <row r="77" spans="1:30" x14ac:dyDescent="0.25">
      <c r="A77" t="s">
        <v>30</v>
      </c>
      <c r="B77">
        <v>2015</v>
      </c>
      <c r="C77" t="s">
        <v>35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>
        <v>125.4</v>
      </c>
      <c r="S77">
        <v>122.7</v>
      </c>
      <c r="T77">
        <v>125</v>
      </c>
      <c r="U77" t="s">
        <v>32</v>
      </c>
      <c r="V77">
        <v>120</v>
      </c>
      <c r="W77">
        <v>119.6</v>
      </c>
      <c r="X77">
        <v>117.7</v>
      </c>
      <c r="Y77">
        <v>110.9</v>
      </c>
      <c r="Z77">
        <v>114.8</v>
      </c>
      <c r="AA77">
        <v>118.7</v>
      </c>
      <c r="AB77">
        <v>110.8</v>
      </c>
      <c r="AC77">
        <v>115</v>
      </c>
      <c r="AD77">
        <v>120.6</v>
      </c>
    </row>
    <row r="78" spans="1:30" x14ac:dyDescent="0.25">
      <c r="A78" t="s">
        <v>33</v>
      </c>
      <c r="B78">
        <v>2015</v>
      </c>
      <c r="C78" t="s">
        <v>35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>
        <v>121.3</v>
      </c>
      <c r="S78">
        <v>116.5</v>
      </c>
      <c r="T78">
        <v>120.6</v>
      </c>
      <c r="U78">
        <v>118.1</v>
      </c>
      <c r="V78">
        <v>114</v>
      </c>
      <c r="W78">
        <v>117.7</v>
      </c>
      <c r="X78">
        <v>114.1</v>
      </c>
      <c r="Y78">
        <v>106.8</v>
      </c>
      <c r="Z78">
        <v>114.9</v>
      </c>
      <c r="AA78">
        <v>120.4</v>
      </c>
      <c r="AB78">
        <v>111.7</v>
      </c>
      <c r="AC78">
        <v>113.2</v>
      </c>
      <c r="AD78">
        <v>118.7</v>
      </c>
    </row>
    <row r="79" spans="1:30" x14ac:dyDescent="0.25">
      <c r="A79" t="s">
        <v>34</v>
      </c>
      <c r="B79">
        <v>2015</v>
      </c>
      <c r="C79" t="s">
        <v>35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>
        <v>123.8</v>
      </c>
      <c r="S79">
        <v>120.1</v>
      </c>
      <c r="T79">
        <v>123.3</v>
      </c>
      <c r="U79">
        <v>118.1</v>
      </c>
      <c r="V79">
        <v>117.7</v>
      </c>
      <c r="W79">
        <v>118.7</v>
      </c>
      <c r="X79">
        <v>116.3</v>
      </c>
      <c r="Y79">
        <v>108.7</v>
      </c>
      <c r="Z79">
        <v>114.9</v>
      </c>
      <c r="AA79">
        <v>119.7</v>
      </c>
      <c r="AB79">
        <v>111.2</v>
      </c>
      <c r="AC79">
        <v>114.1</v>
      </c>
      <c r="AD79">
        <v>119.7</v>
      </c>
    </row>
    <row r="80" spans="1:30" x14ac:dyDescent="0.25">
      <c r="A80" t="s">
        <v>30</v>
      </c>
      <c r="B80">
        <v>2015</v>
      </c>
      <c r="C80" t="s">
        <v>36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>
        <v>126</v>
      </c>
      <c r="S80">
        <v>122.9</v>
      </c>
      <c r="T80">
        <v>125.5</v>
      </c>
      <c r="U80" t="s">
        <v>32</v>
      </c>
      <c r="V80">
        <v>120.6</v>
      </c>
      <c r="W80">
        <v>120.2</v>
      </c>
      <c r="X80">
        <v>118.2</v>
      </c>
      <c r="Y80">
        <v>111.6</v>
      </c>
      <c r="Z80">
        <v>115.5</v>
      </c>
      <c r="AA80">
        <v>119.4</v>
      </c>
      <c r="AB80">
        <v>110.8</v>
      </c>
      <c r="AC80">
        <v>115.5</v>
      </c>
      <c r="AD80">
        <v>121.1</v>
      </c>
    </row>
    <row r="81" spans="1:30" x14ac:dyDescent="0.25">
      <c r="A81" t="s">
        <v>33</v>
      </c>
      <c r="B81">
        <v>2015</v>
      </c>
      <c r="C81" t="s">
        <v>36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>
        <v>121.7</v>
      </c>
      <c r="S81">
        <v>116.9</v>
      </c>
      <c r="T81">
        <v>120.9</v>
      </c>
      <c r="U81">
        <v>118.6</v>
      </c>
      <c r="V81">
        <v>114.4</v>
      </c>
      <c r="W81">
        <v>118</v>
      </c>
      <c r="X81">
        <v>114.3</v>
      </c>
      <c r="Y81">
        <v>108.4</v>
      </c>
      <c r="Z81">
        <v>115.4</v>
      </c>
      <c r="AA81">
        <v>120.6</v>
      </c>
      <c r="AB81">
        <v>111.3</v>
      </c>
      <c r="AC81">
        <v>113.8</v>
      </c>
      <c r="AD81">
        <v>119.1</v>
      </c>
    </row>
    <row r="82" spans="1:30" x14ac:dyDescent="0.25">
      <c r="A82" t="s">
        <v>34</v>
      </c>
      <c r="B82">
        <v>2015</v>
      </c>
      <c r="C82" t="s">
        <v>36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>
        <v>124.3</v>
      </c>
      <c r="S82">
        <v>120.4</v>
      </c>
      <c r="T82">
        <v>123.7</v>
      </c>
      <c r="U82">
        <v>118.6</v>
      </c>
      <c r="V82">
        <v>118.3</v>
      </c>
      <c r="W82">
        <v>119.2</v>
      </c>
      <c r="X82">
        <v>116.7</v>
      </c>
      <c r="Y82">
        <v>109.9</v>
      </c>
      <c r="Z82">
        <v>115.4</v>
      </c>
      <c r="AA82">
        <v>120.1</v>
      </c>
      <c r="AB82">
        <v>111</v>
      </c>
      <c r="AC82">
        <v>114.7</v>
      </c>
      <c r="AD82">
        <v>120.2</v>
      </c>
    </row>
    <row r="83" spans="1:30" x14ac:dyDescent="0.25">
      <c r="A83" t="s">
        <v>30</v>
      </c>
      <c r="B83">
        <v>2015</v>
      </c>
      <c r="C83" t="s">
        <v>37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>
        <v>126.4</v>
      </c>
      <c r="S83">
        <v>123.3</v>
      </c>
      <c r="T83">
        <v>126</v>
      </c>
      <c r="U83" t="s">
        <v>32</v>
      </c>
      <c r="V83">
        <v>121.2</v>
      </c>
      <c r="W83">
        <v>120.9</v>
      </c>
      <c r="X83">
        <v>118.6</v>
      </c>
      <c r="Y83">
        <v>111.9</v>
      </c>
      <c r="Z83">
        <v>116.2</v>
      </c>
      <c r="AA83">
        <v>119.9</v>
      </c>
      <c r="AB83">
        <v>111.6</v>
      </c>
      <c r="AC83">
        <v>116</v>
      </c>
      <c r="AD83">
        <v>121.5</v>
      </c>
    </row>
    <row r="84" spans="1:30" x14ac:dyDescent="0.25">
      <c r="A84" t="s">
        <v>33</v>
      </c>
      <c r="B84">
        <v>2015</v>
      </c>
      <c r="C84" t="s">
        <v>37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>
        <v>122.1</v>
      </c>
      <c r="S84">
        <v>117.2</v>
      </c>
      <c r="T84">
        <v>121.3</v>
      </c>
      <c r="U84">
        <v>119.2</v>
      </c>
      <c r="V84">
        <v>114.7</v>
      </c>
      <c r="W84">
        <v>118.4</v>
      </c>
      <c r="X84">
        <v>114.6</v>
      </c>
      <c r="Y84">
        <v>108.4</v>
      </c>
      <c r="Z84">
        <v>115.6</v>
      </c>
      <c r="AA84">
        <v>121.7</v>
      </c>
      <c r="AB84">
        <v>111.8</v>
      </c>
      <c r="AC84">
        <v>114.2</v>
      </c>
      <c r="AD84">
        <v>119.7</v>
      </c>
    </row>
    <row r="85" spans="1:30" x14ac:dyDescent="0.25">
      <c r="A85" t="s">
        <v>34</v>
      </c>
      <c r="B85">
        <v>2015</v>
      </c>
      <c r="C85" t="s">
        <v>37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>
        <v>124.7</v>
      </c>
      <c r="S85">
        <v>120.8</v>
      </c>
      <c r="T85">
        <v>124.1</v>
      </c>
      <c r="U85">
        <v>119.2</v>
      </c>
      <c r="V85">
        <v>118.7</v>
      </c>
      <c r="W85">
        <v>119.7</v>
      </c>
      <c r="X85">
        <v>117.1</v>
      </c>
      <c r="Y85">
        <v>110.1</v>
      </c>
      <c r="Z85">
        <v>115.9</v>
      </c>
      <c r="AA85">
        <v>121</v>
      </c>
      <c r="AB85">
        <v>111.7</v>
      </c>
      <c r="AC85">
        <v>115.1</v>
      </c>
      <c r="AD85">
        <v>120.7</v>
      </c>
    </row>
    <row r="86" spans="1:30" x14ac:dyDescent="0.25">
      <c r="A86" t="s">
        <v>30</v>
      </c>
      <c r="B86">
        <v>2015</v>
      </c>
      <c r="C86" t="s">
        <v>38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>
        <v>127.3</v>
      </c>
      <c r="S86">
        <v>124.1</v>
      </c>
      <c r="T86">
        <v>126.8</v>
      </c>
      <c r="U86" t="s">
        <v>32</v>
      </c>
      <c r="V86">
        <v>121.9</v>
      </c>
      <c r="W86">
        <v>121.5</v>
      </c>
      <c r="X86">
        <v>119.4</v>
      </c>
      <c r="Y86">
        <v>113.3</v>
      </c>
      <c r="Z86">
        <v>116.7</v>
      </c>
      <c r="AA86">
        <v>120.5</v>
      </c>
      <c r="AB86">
        <v>112.3</v>
      </c>
      <c r="AC86">
        <v>116.9</v>
      </c>
      <c r="AD86">
        <v>122.4</v>
      </c>
    </row>
    <row r="87" spans="1:30" x14ac:dyDescent="0.25">
      <c r="A87" t="s">
        <v>33</v>
      </c>
      <c r="B87">
        <v>2015</v>
      </c>
      <c r="C87" t="s">
        <v>38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>
        <v>122.4</v>
      </c>
      <c r="S87">
        <v>117.4</v>
      </c>
      <c r="T87">
        <v>121.6</v>
      </c>
      <c r="U87">
        <v>119.6</v>
      </c>
      <c r="V87">
        <v>114.9</v>
      </c>
      <c r="W87">
        <v>118.7</v>
      </c>
      <c r="X87">
        <v>114.9</v>
      </c>
      <c r="Y87">
        <v>110.8</v>
      </c>
      <c r="Z87">
        <v>116</v>
      </c>
      <c r="AA87">
        <v>122</v>
      </c>
      <c r="AB87">
        <v>112.4</v>
      </c>
      <c r="AC87">
        <v>115.2</v>
      </c>
      <c r="AD87">
        <v>120.7</v>
      </c>
    </row>
    <row r="88" spans="1:30" x14ac:dyDescent="0.25">
      <c r="A88" t="s">
        <v>34</v>
      </c>
      <c r="B88">
        <v>2015</v>
      </c>
      <c r="C88" t="s">
        <v>38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>
        <v>125.4</v>
      </c>
      <c r="S88">
        <v>121.3</v>
      </c>
      <c r="T88">
        <v>124.7</v>
      </c>
      <c r="U88">
        <v>119.6</v>
      </c>
      <c r="V88">
        <v>119.2</v>
      </c>
      <c r="W88">
        <v>120.2</v>
      </c>
      <c r="X88">
        <v>117.7</v>
      </c>
      <c r="Y88">
        <v>112</v>
      </c>
      <c r="Z88">
        <v>116.3</v>
      </c>
      <c r="AA88">
        <v>121.4</v>
      </c>
      <c r="AB88">
        <v>112.3</v>
      </c>
      <c r="AC88">
        <v>116.1</v>
      </c>
      <c r="AD88">
        <v>121.6</v>
      </c>
    </row>
    <row r="89" spans="1:30" x14ac:dyDescent="0.25">
      <c r="A89" t="s">
        <v>30</v>
      </c>
      <c r="B89">
        <v>2015</v>
      </c>
      <c r="C89" t="s">
        <v>39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>
        <v>128.4</v>
      </c>
      <c r="S89">
        <v>125.1</v>
      </c>
      <c r="T89">
        <v>128</v>
      </c>
      <c r="U89" t="s">
        <v>32</v>
      </c>
      <c r="V89">
        <v>122.6</v>
      </c>
      <c r="W89">
        <v>122.8</v>
      </c>
      <c r="X89">
        <v>120.4</v>
      </c>
      <c r="Y89">
        <v>114.2</v>
      </c>
      <c r="Z89">
        <v>117.9</v>
      </c>
      <c r="AA89">
        <v>122</v>
      </c>
      <c r="AB89">
        <v>113</v>
      </c>
      <c r="AC89">
        <v>117.9</v>
      </c>
      <c r="AD89">
        <v>124.1</v>
      </c>
    </row>
    <row r="90" spans="1:30" x14ac:dyDescent="0.25">
      <c r="A90" t="s">
        <v>33</v>
      </c>
      <c r="B90">
        <v>2015</v>
      </c>
      <c r="C90" t="s">
        <v>39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>
        <v>123.2</v>
      </c>
      <c r="S90">
        <v>117.6</v>
      </c>
      <c r="T90">
        <v>122.3</v>
      </c>
      <c r="U90">
        <v>119</v>
      </c>
      <c r="V90">
        <v>115.1</v>
      </c>
      <c r="W90">
        <v>119.2</v>
      </c>
      <c r="X90">
        <v>115.4</v>
      </c>
      <c r="Y90">
        <v>111.7</v>
      </c>
      <c r="Z90">
        <v>116.2</v>
      </c>
      <c r="AA90">
        <v>123.8</v>
      </c>
      <c r="AB90">
        <v>112.5</v>
      </c>
      <c r="AC90">
        <v>116</v>
      </c>
      <c r="AD90">
        <v>121.7</v>
      </c>
    </row>
    <row r="91" spans="1:30" x14ac:dyDescent="0.25">
      <c r="A91" t="s">
        <v>34</v>
      </c>
      <c r="B91">
        <v>2015</v>
      </c>
      <c r="C91" t="s">
        <v>39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>
        <v>126.4</v>
      </c>
      <c r="S91">
        <v>122</v>
      </c>
      <c r="T91">
        <v>125.7</v>
      </c>
      <c r="U91">
        <v>119</v>
      </c>
      <c r="V91">
        <v>119.8</v>
      </c>
      <c r="W91">
        <v>121.1</v>
      </c>
      <c r="X91">
        <v>118.5</v>
      </c>
      <c r="Y91">
        <v>112.9</v>
      </c>
      <c r="Z91">
        <v>116.9</v>
      </c>
      <c r="AA91">
        <v>123.1</v>
      </c>
      <c r="AB91">
        <v>112.8</v>
      </c>
      <c r="AC91">
        <v>117</v>
      </c>
      <c r="AD91">
        <v>123</v>
      </c>
    </row>
    <row r="92" spans="1:30" x14ac:dyDescent="0.25">
      <c r="A92" t="s">
        <v>30</v>
      </c>
      <c r="B92">
        <v>2015</v>
      </c>
      <c r="C92" t="s">
        <v>40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>
        <v>128.80000000000001</v>
      </c>
      <c r="S92">
        <v>125.5</v>
      </c>
      <c r="T92">
        <v>128.30000000000001</v>
      </c>
      <c r="U92" t="s">
        <v>32</v>
      </c>
      <c r="V92">
        <v>123</v>
      </c>
      <c r="W92">
        <v>123</v>
      </c>
      <c r="X92">
        <v>120.8</v>
      </c>
      <c r="Y92">
        <v>114.1</v>
      </c>
      <c r="Z92">
        <v>118</v>
      </c>
      <c r="AA92">
        <v>122.9</v>
      </c>
      <c r="AB92">
        <v>112.7</v>
      </c>
      <c r="AC92">
        <v>118.1</v>
      </c>
      <c r="AD92">
        <v>124.7</v>
      </c>
    </row>
    <row r="93" spans="1:30" x14ac:dyDescent="0.25">
      <c r="A93" t="s">
        <v>33</v>
      </c>
      <c r="B93">
        <v>2015</v>
      </c>
      <c r="C93" t="s">
        <v>40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>
        <v>123.5</v>
      </c>
      <c r="S93">
        <v>117.9</v>
      </c>
      <c r="T93">
        <v>122.7</v>
      </c>
      <c r="U93">
        <v>119.9</v>
      </c>
      <c r="V93">
        <v>115.3</v>
      </c>
      <c r="W93">
        <v>119.5</v>
      </c>
      <c r="X93">
        <v>116</v>
      </c>
      <c r="Y93">
        <v>111.5</v>
      </c>
      <c r="Z93">
        <v>116.6</v>
      </c>
      <c r="AA93">
        <v>125.4</v>
      </c>
      <c r="AB93">
        <v>111.7</v>
      </c>
      <c r="AC93">
        <v>116.3</v>
      </c>
      <c r="AD93">
        <v>122.4</v>
      </c>
    </row>
    <row r="94" spans="1:30" x14ac:dyDescent="0.25">
      <c r="A94" t="s">
        <v>34</v>
      </c>
      <c r="B94">
        <v>2015</v>
      </c>
      <c r="C94" t="s">
        <v>40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>
        <v>126.7</v>
      </c>
      <c r="S94">
        <v>122.3</v>
      </c>
      <c r="T94">
        <v>126.1</v>
      </c>
      <c r="U94">
        <v>119.9</v>
      </c>
      <c r="V94">
        <v>120.1</v>
      </c>
      <c r="W94">
        <v>121.3</v>
      </c>
      <c r="X94">
        <v>119</v>
      </c>
      <c r="Y94">
        <v>112.7</v>
      </c>
      <c r="Z94">
        <v>117.2</v>
      </c>
      <c r="AA94">
        <v>124.4</v>
      </c>
      <c r="AB94">
        <v>112.3</v>
      </c>
      <c r="AC94">
        <v>117.2</v>
      </c>
      <c r="AD94">
        <v>123.6</v>
      </c>
    </row>
    <row r="95" spans="1:30" x14ac:dyDescent="0.25">
      <c r="A95" t="s">
        <v>30</v>
      </c>
      <c r="B95">
        <v>2015</v>
      </c>
      <c r="C95" t="s">
        <v>41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>
        <v>129.5</v>
      </c>
      <c r="S95">
        <v>126.3</v>
      </c>
      <c r="T95">
        <v>129</v>
      </c>
      <c r="U95" t="s">
        <v>32</v>
      </c>
      <c r="V95">
        <v>123.8</v>
      </c>
      <c r="W95">
        <v>123.7</v>
      </c>
      <c r="X95">
        <v>121.1</v>
      </c>
      <c r="Y95">
        <v>113.6</v>
      </c>
      <c r="Z95">
        <v>118.5</v>
      </c>
      <c r="AA95">
        <v>123.6</v>
      </c>
      <c r="AB95">
        <v>112.5</v>
      </c>
      <c r="AC95">
        <v>118.2</v>
      </c>
      <c r="AD95">
        <v>126.1</v>
      </c>
    </row>
    <row r="96" spans="1:30" x14ac:dyDescent="0.25">
      <c r="A96" t="s">
        <v>33</v>
      </c>
      <c r="B96">
        <v>2015</v>
      </c>
      <c r="C96" t="s">
        <v>41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>
        <v>123.7</v>
      </c>
      <c r="S96">
        <v>118.2</v>
      </c>
      <c r="T96">
        <v>122.9</v>
      </c>
      <c r="U96">
        <v>120.9</v>
      </c>
      <c r="V96">
        <v>115.3</v>
      </c>
      <c r="W96">
        <v>120</v>
      </c>
      <c r="X96">
        <v>116.6</v>
      </c>
      <c r="Y96">
        <v>109.9</v>
      </c>
      <c r="Z96">
        <v>117.2</v>
      </c>
      <c r="AA96">
        <v>126.2</v>
      </c>
      <c r="AB96">
        <v>112</v>
      </c>
      <c r="AC96">
        <v>116.2</v>
      </c>
      <c r="AD96">
        <v>123.2</v>
      </c>
    </row>
    <row r="97" spans="1:30" x14ac:dyDescent="0.25">
      <c r="A97" t="s">
        <v>34</v>
      </c>
      <c r="B97">
        <v>2015</v>
      </c>
      <c r="C97" t="s">
        <v>41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>
        <v>127.2</v>
      </c>
      <c r="S97">
        <v>122.9</v>
      </c>
      <c r="T97">
        <v>126.6</v>
      </c>
      <c r="U97">
        <v>120.9</v>
      </c>
      <c r="V97">
        <v>120.6</v>
      </c>
      <c r="W97">
        <v>122</v>
      </c>
      <c r="X97">
        <v>119.4</v>
      </c>
      <c r="Y97">
        <v>111.7</v>
      </c>
      <c r="Z97">
        <v>117.8</v>
      </c>
      <c r="AA97">
        <v>125.1</v>
      </c>
      <c r="AB97">
        <v>112.3</v>
      </c>
      <c r="AC97">
        <v>117.2</v>
      </c>
      <c r="AD97">
        <v>124.8</v>
      </c>
    </row>
    <row r="98" spans="1:30" x14ac:dyDescent="0.25">
      <c r="A98" t="s">
        <v>30</v>
      </c>
      <c r="B98">
        <v>2015</v>
      </c>
      <c r="C98" t="s">
        <v>42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>
        <v>130.4</v>
      </c>
      <c r="S98">
        <v>126.8</v>
      </c>
      <c r="T98">
        <v>129.9</v>
      </c>
      <c r="U98" t="s">
        <v>32</v>
      </c>
      <c r="V98">
        <v>123.7</v>
      </c>
      <c r="W98">
        <v>124.5</v>
      </c>
      <c r="X98">
        <v>121.4</v>
      </c>
      <c r="Y98">
        <v>113.8</v>
      </c>
      <c r="Z98">
        <v>119.6</v>
      </c>
      <c r="AA98">
        <v>124.5</v>
      </c>
      <c r="AB98">
        <v>113.7</v>
      </c>
      <c r="AC98">
        <v>118.8</v>
      </c>
      <c r="AD98">
        <v>127</v>
      </c>
    </row>
    <row r="99" spans="1:30" x14ac:dyDescent="0.25">
      <c r="A99" t="s">
        <v>33</v>
      </c>
      <c r="B99">
        <v>2015</v>
      </c>
      <c r="C99" t="s">
        <v>42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>
        <v>124</v>
      </c>
      <c r="S99">
        <v>118.6</v>
      </c>
      <c r="T99">
        <v>123.2</v>
      </c>
      <c r="U99">
        <v>121.6</v>
      </c>
      <c r="V99">
        <v>115.1</v>
      </c>
      <c r="W99">
        <v>120.4</v>
      </c>
      <c r="X99">
        <v>117.1</v>
      </c>
      <c r="Y99">
        <v>109.1</v>
      </c>
      <c r="Z99">
        <v>117.3</v>
      </c>
      <c r="AA99">
        <v>126.5</v>
      </c>
      <c r="AB99">
        <v>112.9</v>
      </c>
      <c r="AC99">
        <v>116.2</v>
      </c>
      <c r="AD99">
        <v>123.5</v>
      </c>
    </row>
    <row r="100" spans="1:30" x14ac:dyDescent="0.25">
      <c r="A100" t="s">
        <v>34</v>
      </c>
      <c r="B100">
        <v>2015</v>
      </c>
      <c r="C100" t="s">
        <v>42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>
        <v>127.9</v>
      </c>
      <c r="S100">
        <v>123.4</v>
      </c>
      <c r="T100">
        <v>127.2</v>
      </c>
      <c r="U100">
        <v>121.6</v>
      </c>
      <c r="V100">
        <v>120.4</v>
      </c>
      <c r="W100">
        <v>122.6</v>
      </c>
      <c r="X100">
        <v>119.8</v>
      </c>
      <c r="Y100">
        <v>111.3</v>
      </c>
      <c r="Z100">
        <v>118.3</v>
      </c>
      <c r="AA100">
        <v>125.7</v>
      </c>
      <c r="AB100">
        <v>113.4</v>
      </c>
      <c r="AC100">
        <v>117.5</v>
      </c>
      <c r="AD100">
        <v>125.4</v>
      </c>
    </row>
    <row r="101" spans="1:30" x14ac:dyDescent="0.25">
      <c r="A101" t="s">
        <v>30</v>
      </c>
      <c r="B101">
        <v>2015</v>
      </c>
      <c r="C101" t="s">
        <v>43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>
        <v>131.1</v>
      </c>
      <c r="S101">
        <v>127.3</v>
      </c>
      <c r="T101">
        <v>130.6</v>
      </c>
      <c r="U101" t="s">
        <v>32</v>
      </c>
      <c r="V101">
        <v>124.4</v>
      </c>
      <c r="W101">
        <v>125.1</v>
      </c>
      <c r="X101">
        <v>122</v>
      </c>
      <c r="Y101">
        <v>113.8</v>
      </c>
      <c r="Z101">
        <v>120.1</v>
      </c>
      <c r="AA101">
        <v>125.1</v>
      </c>
      <c r="AB101">
        <v>114.2</v>
      </c>
      <c r="AC101">
        <v>119.2</v>
      </c>
      <c r="AD101">
        <v>127.7</v>
      </c>
    </row>
    <row r="102" spans="1:30" x14ac:dyDescent="0.25">
      <c r="A102" t="s">
        <v>33</v>
      </c>
      <c r="B102">
        <v>2015</v>
      </c>
      <c r="C102" t="s">
        <v>43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>
        <v>124.4</v>
      </c>
      <c r="S102">
        <v>118.8</v>
      </c>
      <c r="T102">
        <v>123.6</v>
      </c>
      <c r="U102">
        <v>122.4</v>
      </c>
      <c r="V102">
        <v>114.9</v>
      </c>
      <c r="W102">
        <v>120.7</v>
      </c>
      <c r="X102">
        <v>117.7</v>
      </c>
      <c r="Y102">
        <v>109.3</v>
      </c>
      <c r="Z102">
        <v>117.7</v>
      </c>
      <c r="AA102">
        <v>126.5</v>
      </c>
      <c r="AB102">
        <v>113.5</v>
      </c>
      <c r="AC102">
        <v>116.5</v>
      </c>
      <c r="AD102">
        <v>124.2</v>
      </c>
    </row>
    <row r="103" spans="1:30" x14ac:dyDescent="0.25">
      <c r="A103" t="s">
        <v>34</v>
      </c>
      <c r="B103">
        <v>2015</v>
      </c>
      <c r="C103" t="s">
        <v>43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>
        <v>128.5</v>
      </c>
      <c r="S103">
        <v>123.8</v>
      </c>
      <c r="T103">
        <v>127.8</v>
      </c>
      <c r="U103">
        <v>122.4</v>
      </c>
      <c r="V103">
        <v>120.8</v>
      </c>
      <c r="W103">
        <v>123</v>
      </c>
      <c r="X103">
        <v>120.4</v>
      </c>
      <c r="Y103">
        <v>111.4</v>
      </c>
      <c r="Z103">
        <v>118.7</v>
      </c>
      <c r="AA103">
        <v>125.9</v>
      </c>
      <c r="AB103">
        <v>113.9</v>
      </c>
      <c r="AC103">
        <v>117.9</v>
      </c>
      <c r="AD103">
        <v>126.1</v>
      </c>
    </row>
    <row r="104" spans="1:30" x14ac:dyDescent="0.25">
      <c r="A104" t="s">
        <v>30</v>
      </c>
      <c r="B104">
        <v>2015</v>
      </c>
      <c r="C104" t="s">
        <v>45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>
        <v>132.1</v>
      </c>
      <c r="S104">
        <v>128.19999999999999</v>
      </c>
      <c r="T104">
        <v>131.5</v>
      </c>
      <c r="U104" t="s">
        <v>32</v>
      </c>
      <c r="V104">
        <v>125.6</v>
      </c>
      <c r="W104">
        <v>125.6</v>
      </c>
      <c r="X104">
        <v>122.6</v>
      </c>
      <c r="Y104">
        <v>114</v>
      </c>
      <c r="Z104">
        <v>120.9</v>
      </c>
      <c r="AA104">
        <v>125.8</v>
      </c>
      <c r="AB104">
        <v>114.2</v>
      </c>
      <c r="AC104">
        <v>119.6</v>
      </c>
      <c r="AD104">
        <v>128.30000000000001</v>
      </c>
    </row>
    <row r="105" spans="1:30" x14ac:dyDescent="0.25">
      <c r="A105" t="s">
        <v>33</v>
      </c>
      <c r="B105">
        <v>2015</v>
      </c>
      <c r="C105" t="s">
        <v>45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>
        <v>125</v>
      </c>
      <c r="S105">
        <v>119.3</v>
      </c>
      <c r="T105">
        <v>124.2</v>
      </c>
      <c r="U105">
        <v>122.9</v>
      </c>
      <c r="V105">
        <v>115.1</v>
      </c>
      <c r="W105">
        <v>121</v>
      </c>
      <c r="X105">
        <v>118.1</v>
      </c>
      <c r="Y105">
        <v>109.3</v>
      </c>
      <c r="Z105">
        <v>117.9</v>
      </c>
      <c r="AA105">
        <v>126.6</v>
      </c>
      <c r="AB105">
        <v>113.3</v>
      </c>
      <c r="AC105">
        <v>116.6</v>
      </c>
      <c r="AD105">
        <v>124.6</v>
      </c>
    </row>
    <row r="106" spans="1:30" x14ac:dyDescent="0.25">
      <c r="A106" t="s">
        <v>34</v>
      </c>
      <c r="B106">
        <v>2015</v>
      </c>
      <c r="C106" t="s">
        <v>45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>
        <v>129.30000000000001</v>
      </c>
      <c r="S106">
        <v>124.5</v>
      </c>
      <c r="T106">
        <v>128.6</v>
      </c>
      <c r="U106">
        <v>122.9</v>
      </c>
      <c r="V106">
        <v>121.6</v>
      </c>
      <c r="W106">
        <v>123.4</v>
      </c>
      <c r="X106">
        <v>120.9</v>
      </c>
      <c r="Y106">
        <v>111.5</v>
      </c>
      <c r="Z106">
        <v>119.2</v>
      </c>
      <c r="AA106">
        <v>126.3</v>
      </c>
      <c r="AB106">
        <v>113.8</v>
      </c>
      <c r="AC106">
        <v>118.1</v>
      </c>
      <c r="AD106">
        <v>126.6</v>
      </c>
    </row>
    <row r="107" spans="1:30" x14ac:dyDescent="0.25">
      <c r="A107" t="s">
        <v>30</v>
      </c>
      <c r="B107">
        <v>2015</v>
      </c>
      <c r="C107" t="s">
        <v>46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>
        <v>132.5</v>
      </c>
      <c r="S107">
        <v>128.5</v>
      </c>
      <c r="T107">
        <v>131.9</v>
      </c>
      <c r="U107" t="s">
        <v>32</v>
      </c>
      <c r="V107">
        <v>125.7</v>
      </c>
      <c r="W107">
        <v>126</v>
      </c>
      <c r="X107">
        <v>123.1</v>
      </c>
      <c r="Y107">
        <v>114</v>
      </c>
      <c r="Z107">
        <v>121.6</v>
      </c>
      <c r="AA107">
        <v>125.6</v>
      </c>
      <c r="AB107">
        <v>114.1</v>
      </c>
      <c r="AC107">
        <v>119.8</v>
      </c>
      <c r="AD107">
        <v>127.9</v>
      </c>
    </row>
    <row r="108" spans="1:30" x14ac:dyDescent="0.25">
      <c r="A108" t="s">
        <v>33</v>
      </c>
      <c r="B108">
        <v>2015</v>
      </c>
      <c r="C108" t="s">
        <v>46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>
        <v>125.4</v>
      </c>
      <c r="S108">
        <v>119.5</v>
      </c>
      <c r="T108">
        <v>124.5</v>
      </c>
      <c r="U108">
        <v>122.4</v>
      </c>
      <c r="V108">
        <v>116</v>
      </c>
      <c r="W108">
        <v>121</v>
      </c>
      <c r="X108">
        <v>118.6</v>
      </c>
      <c r="Y108">
        <v>109.3</v>
      </c>
      <c r="Z108">
        <v>118.1</v>
      </c>
      <c r="AA108">
        <v>126.6</v>
      </c>
      <c r="AB108">
        <v>113.2</v>
      </c>
      <c r="AC108">
        <v>116.7</v>
      </c>
      <c r="AD108">
        <v>124</v>
      </c>
    </row>
    <row r="109" spans="1:30" x14ac:dyDescent="0.25">
      <c r="A109" t="s">
        <v>34</v>
      </c>
      <c r="B109">
        <v>2015</v>
      </c>
      <c r="C109" t="s">
        <v>46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>
        <v>129.69999999999999</v>
      </c>
      <c r="S109">
        <v>124.8</v>
      </c>
      <c r="T109">
        <v>129</v>
      </c>
      <c r="U109">
        <v>122.4</v>
      </c>
      <c r="V109">
        <v>122</v>
      </c>
      <c r="W109">
        <v>123.6</v>
      </c>
      <c r="X109">
        <v>121.4</v>
      </c>
      <c r="Y109">
        <v>111.5</v>
      </c>
      <c r="Z109">
        <v>119.6</v>
      </c>
      <c r="AA109">
        <v>126.2</v>
      </c>
      <c r="AB109">
        <v>113.7</v>
      </c>
      <c r="AC109">
        <v>118.3</v>
      </c>
      <c r="AD109">
        <v>126.1</v>
      </c>
    </row>
    <row r="110" spans="1:30" x14ac:dyDescent="0.25">
      <c r="A110" t="s">
        <v>30</v>
      </c>
      <c r="B110">
        <v>2016</v>
      </c>
      <c r="C110" t="s">
        <v>31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>
        <v>133.19999999999999</v>
      </c>
      <c r="S110">
        <v>128.9</v>
      </c>
      <c r="T110">
        <v>132.6</v>
      </c>
      <c r="U110" t="s">
        <v>32</v>
      </c>
      <c r="V110">
        <v>126.2</v>
      </c>
      <c r="W110">
        <v>126.6</v>
      </c>
      <c r="X110">
        <v>123.7</v>
      </c>
      <c r="Y110">
        <v>113.6</v>
      </c>
      <c r="Z110">
        <v>121.4</v>
      </c>
      <c r="AA110">
        <v>126.2</v>
      </c>
      <c r="AB110">
        <v>114.9</v>
      </c>
      <c r="AC110">
        <v>120.1</v>
      </c>
      <c r="AD110">
        <v>128.1</v>
      </c>
    </row>
    <row r="111" spans="1:30" x14ac:dyDescent="0.25">
      <c r="A111" t="s">
        <v>33</v>
      </c>
      <c r="B111">
        <v>2016</v>
      </c>
      <c r="C111" t="s">
        <v>31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>
        <v>125.8</v>
      </c>
      <c r="S111">
        <v>119.8</v>
      </c>
      <c r="T111">
        <v>124.9</v>
      </c>
      <c r="U111">
        <v>123.4</v>
      </c>
      <c r="V111">
        <v>116.9</v>
      </c>
      <c r="W111">
        <v>121.6</v>
      </c>
      <c r="X111">
        <v>119.1</v>
      </c>
      <c r="Y111">
        <v>108.9</v>
      </c>
      <c r="Z111">
        <v>118.5</v>
      </c>
      <c r="AA111">
        <v>126.4</v>
      </c>
      <c r="AB111">
        <v>114</v>
      </c>
      <c r="AC111">
        <v>116.8</v>
      </c>
      <c r="AD111">
        <v>124.2</v>
      </c>
    </row>
    <row r="112" spans="1:30" x14ac:dyDescent="0.25">
      <c r="A112" t="s">
        <v>34</v>
      </c>
      <c r="B112">
        <v>2016</v>
      </c>
      <c r="C112" t="s">
        <v>31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>
        <v>130.30000000000001</v>
      </c>
      <c r="S112">
        <v>125.1</v>
      </c>
      <c r="T112">
        <v>129.5</v>
      </c>
      <c r="U112">
        <v>123.4</v>
      </c>
      <c r="V112">
        <v>122.7</v>
      </c>
      <c r="W112">
        <v>124.2</v>
      </c>
      <c r="X112">
        <v>122</v>
      </c>
      <c r="Y112">
        <v>111.1</v>
      </c>
      <c r="Z112">
        <v>119.8</v>
      </c>
      <c r="AA112">
        <v>126.3</v>
      </c>
      <c r="AB112">
        <v>114.5</v>
      </c>
      <c r="AC112">
        <v>118.5</v>
      </c>
      <c r="AD112">
        <v>126.3</v>
      </c>
    </row>
    <row r="113" spans="1:30" x14ac:dyDescent="0.25">
      <c r="A113" t="s">
        <v>30</v>
      </c>
      <c r="B113">
        <v>2016</v>
      </c>
      <c r="C113" t="s">
        <v>35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>
        <v>133.9</v>
      </c>
      <c r="S113">
        <v>129.80000000000001</v>
      </c>
      <c r="T113">
        <v>133.4</v>
      </c>
      <c r="U113" t="s">
        <v>32</v>
      </c>
      <c r="V113">
        <v>127.5</v>
      </c>
      <c r="W113">
        <v>127.1</v>
      </c>
      <c r="X113">
        <v>124.3</v>
      </c>
      <c r="Y113">
        <v>113.9</v>
      </c>
      <c r="Z113">
        <v>122.3</v>
      </c>
      <c r="AA113">
        <v>127.1</v>
      </c>
      <c r="AB113">
        <v>116.8</v>
      </c>
      <c r="AC113">
        <v>120.9</v>
      </c>
      <c r="AD113">
        <v>127.9</v>
      </c>
    </row>
    <row r="114" spans="1:30" x14ac:dyDescent="0.25">
      <c r="A114" t="s">
        <v>33</v>
      </c>
      <c r="B114">
        <v>2016</v>
      </c>
      <c r="C114" t="s">
        <v>35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>
        <v>126.2</v>
      </c>
      <c r="S114">
        <v>120.1</v>
      </c>
      <c r="T114">
        <v>125.3</v>
      </c>
      <c r="U114">
        <v>124.4</v>
      </c>
      <c r="V114">
        <v>116</v>
      </c>
      <c r="W114">
        <v>121.8</v>
      </c>
      <c r="X114">
        <v>119.5</v>
      </c>
      <c r="Y114">
        <v>109.1</v>
      </c>
      <c r="Z114">
        <v>118.8</v>
      </c>
      <c r="AA114">
        <v>126.3</v>
      </c>
      <c r="AB114">
        <v>116.2</v>
      </c>
      <c r="AC114">
        <v>117.2</v>
      </c>
      <c r="AD114">
        <v>123.8</v>
      </c>
    </row>
    <row r="115" spans="1:30" x14ac:dyDescent="0.25">
      <c r="A115" t="s">
        <v>34</v>
      </c>
      <c r="B115">
        <v>2016</v>
      </c>
      <c r="C115" t="s">
        <v>35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>
        <v>130.9</v>
      </c>
      <c r="S115">
        <v>125.8</v>
      </c>
      <c r="T115">
        <v>130.19999999999999</v>
      </c>
      <c r="U115">
        <v>124.4</v>
      </c>
      <c r="V115">
        <v>123.1</v>
      </c>
      <c r="W115">
        <v>124.6</v>
      </c>
      <c r="X115">
        <v>122.5</v>
      </c>
      <c r="Y115">
        <v>111.4</v>
      </c>
      <c r="Z115">
        <v>120.3</v>
      </c>
      <c r="AA115">
        <v>126.6</v>
      </c>
      <c r="AB115">
        <v>116.6</v>
      </c>
      <c r="AC115">
        <v>119.1</v>
      </c>
      <c r="AD115">
        <v>126</v>
      </c>
    </row>
    <row r="116" spans="1:30" x14ac:dyDescent="0.25">
      <c r="A116" t="s">
        <v>30</v>
      </c>
      <c r="B116">
        <v>2016</v>
      </c>
      <c r="C116" t="s">
        <v>36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>
        <v>134.4</v>
      </c>
      <c r="S116">
        <v>130.19999999999999</v>
      </c>
      <c r="T116">
        <v>133.80000000000001</v>
      </c>
      <c r="U116" t="s">
        <v>32</v>
      </c>
      <c r="V116">
        <v>127</v>
      </c>
      <c r="W116">
        <v>127.7</v>
      </c>
      <c r="X116">
        <v>124.8</v>
      </c>
      <c r="Y116">
        <v>113.6</v>
      </c>
      <c r="Z116">
        <v>122.5</v>
      </c>
      <c r="AA116">
        <v>127.5</v>
      </c>
      <c r="AB116">
        <v>117.4</v>
      </c>
      <c r="AC116">
        <v>121.1</v>
      </c>
      <c r="AD116">
        <v>128</v>
      </c>
    </row>
    <row r="117" spans="1:30" x14ac:dyDescent="0.25">
      <c r="A117" t="s">
        <v>33</v>
      </c>
      <c r="B117">
        <v>2016</v>
      </c>
      <c r="C117" t="s">
        <v>36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>
        <v>126.4</v>
      </c>
      <c r="S117">
        <v>120.3</v>
      </c>
      <c r="T117">
        <v>125.5</v>
      </c>
      <c r="U117">
        <v>124.9</v>
      </c>
      <c r="V117">
        <v>114.8</v>
      </c>
      <c r="W117">
        <v>122.3</v>
      </c>
      <c r="X117">
        <v>119.7</v>
      </c>
      <c r="Y117">
        <v>108.5</v>
      </c>
      <c r="Z117">
        <v>119.1</v>
      </c>
      <c r="AA117">
        <v>126.4</v>
      </c>
      <c r="AB117">
        <v>117.1</v>
      </c>
      <c r="AC117">
        <v>117.3</v>
      </c>
      <c r="AD117">
        <v>123.8</v>
      </c>
    </row>
    <row r="118" spans="1:30" x14ac:dyDescent="0.25">
      <c r="A118" t="s">
        <v>34</v>
      </c>
      <c r="B118">
        <v>2016</v>
      </c>
      <c r="C118" t="s">
        <v>36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>
        <v>131.30000000000001</v>
      </c>
      <c r="S118">
        <v>126.1</v>
      </c>
      <c r="T118">
        <v>130.5</v>
      </c>
      <c r="U118">
        <v>124.9</v>
      </c>
      <c r="V118">
        <v>122.4</v>
      </c>
      <c r="W118">
        <v>125.1</v>
      </c>
      <c r="X118">
        <v>122.9</v>
      </c>
      <c r="Y118">
        <v>110.9</v>
      </c>
      <c r="Z118">
        <v>120.6</v>
      </c>
      <c r="AA118">
        <v>126.9</v>
      </c>
      <c r="AB118">
        <v>117.3</v>
      </c>
      <c r="AC118">
        <v>119.3</v>
      </c>
      <c r="AD118">
        <v>126</v>
      </c>
    </row>
    <row r="119" spans="1:30" x14ac:dyDescent="0.25">
      <c r="A119" t="s">
        <v>30</v>
      </c>
      <c r="B119">
        <v>2016</v>
      </c>
      <c r="C119" t="s">
        <v>37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>
        <v>135</v>
      </c>
      <c r="S119">
        <v>130.6</v>
      </c>
      <c r="T119">
        <v>134.4</v>
      </c>
      <c r="U119" t="s">
        <v>32</v>
      </c>
      <c r="V119">
        <v>127</v>
      </c>
      <c r="W119">
        <v>128</v>
      </c>
      <c r="X119">
        <v>125.2</v>
      </c>
      <c r="Y119">
        <v>114.4</v>
      </c>
      <c r="Z119">
        <v>123.2</v>
      </c>
      <c r="AA119">
        <v>127.9</v>
      </c>
      <c r="AB119">
        <v>118.4</v>
      </c>
      <c r="AC119">
        <v>121.7</v>
      </c>
      <c r="AD119">
        <v>129</v>
      </c>
    </row>
    <row r="120" spans="1:30" x14ac:dyDescent="0.25">
      <c r="A120" t="s">
        <v>33</v>
      </c>
      <c r="B120">
        <v>2016</v>
      </c>
      <c r="C120" t="s">
        <v>37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>
        <v>126.8</v>
      </c>
      <c r="S120">
        <v>120.5</v>
      </c>
      <c r="T120">
        <v>125.8</v>
      </c>
      <c r="U120">
        <v>125.6</v>
      </c>
      <c r="V120">
        <v>114.6</v>
      </c>
      <c r="W120">
        <v>122.8</v>
      </c>
      <c r="X120">
        <v>120</v>
      </c>
      <c r="Y120">
        <v>110</v>
      </c>
      <c r="Z120">
        <v>119.5</v>
      </c>
      <c r="AA120">
        <v>127.6</v>
      </c>
      <c r="AB120">
        <v>117.6</v>
      </c>
      <c r="AC120">
        <v>118.2</v>
      </c>
      <c r="AD120">
        <v>125.3</v>
      </c>
    </row>
    <row r="121" spans="1:30" x14ac:dyDescent="0.25">
      <c r="A121" t="s">
        <v>34</v>
      </c>
      <c r="B121">
        <v>2016</v>
      </c>
      <c r="C121" t="s">
        <v>37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>
        <v>131.80000000000001</v>
      </c>
      <c r="S121">
        <v>126.4</v>
      </c>
      <c r="T121">
        <v>131</v>
      </c>
      <c r="U121">
        <v>125.6</v>
      </c>
      <c r="V121">
        <v>122.3</v>
      </c>
      <c r="W121">
        <v>125.5</v>
      </c>
      <c r="X121">
        <v>123.2</v>
      </c>
      <c r="Y121">
        <v>112.1</v>
      </c>
      <c r="Z121">
        <v>121.1</v>
      </c>
      <c r="AA121">
        <v>127.7</v>
      </c>
      <c r="AB121">
        <v>118.1</v>
      </c>
      <c r="AC121">
        <v>120</v>
      </c>
      <c r="AD121">
        <v>127.3</v>
      </c>
    </row>
    <row r="122" spans="1:30" x14ac:dyDescent="0.25">
      <c r="A122" t="s">
        <v>30</v>
      </c>
      <c r="B122">
        <v>2016</v>
      </c>
      <c r="C122" t="s">
        <v>38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>
        <v>135.4</v>
      </c>
      <c r="S122">
        <v>131.1</v>
      </c>
      <c r="T122">
        <v>134.80000000000001</v>
      </c>
      <c r="U122" t="s">
        <v>32</v>
      </c>
      <c r="V122">
        <v>127.4</v>
      </c>
      <c r="W122">
        <v>128.5</v>
      </c>
      <c r="X122">
        <v>125.8</v>
      </c>
      <c r="Y122">
        <v>115.1</v>
      </c>
      <c r="Z122">
        <v>123.6</v>
      </c>
      <c r="AA122">
        <v>129.1</v>
      </c>
      <c r="AB122">
        <v>119.7</v>
      </c>
      <c r="AC122">
        <v>122.5</v>
      </c>
      <c r="AD122">
        <v>130.30000000000001</v>
      </c>
    </row>
    <row r="123" spans="1:30" x14ac:dyDescent="0.25">
      <c r="A123" t="s">
        <v>33</v>
      </c>
      <c r="B123">
        <v>2016</v>
      </c>
      <c r="C123" t="s">
        <v>38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>
        <v>127.2</v>
      </c>
      <c r="S123">
        <v>120.7</v>
      </c>
      <c r="T123">
        <v>126.2</v>
      </c>
      <c r="U123">
        <v>126</v>
      </c>
      <c r="V123">
        <v>115</v>
      </c>
      <c r="W123">
        <v>123.2</v>
      </c>
      <c r="X123">
        <v>120.3</v>
      </c>
      <c r="Y123">
        <v>110.7</v>
      </c>
      <c r="Z123">
        <v>119.8</v>
      </c>
      <c r="AA123">
        <v>128</v>
      </c>
      <c r="AB123">
        <v>118.5</v>
      </c>
      <c r="AC123">
        <v>118.7</v>
      </c>
      <c r="AD123">
        <v>126.6</v>
      </c>
    </row>
    <row r="124" spans="1:30" x14ac:dyDescent="0.25">
      <c r="A124" t="s">
        <v>34</v>
      </c>
      <c r="B124">
        <v>2016</v>
      </c>
      <c r="C124" t="s">
        <v>38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>
        <v>132.19999999999999</v>
      </c>
      <c r="S124">
        <v>126.8</v>
      </c>
      <c r="T124">
        <v>131.4</v>
      </c>
      <c r="U124">
        <v>126</v>
      </c>
      <c r="V124">
        <v>122.7</v>
      </c>
      <c r="W124">
        <v>126</v>
      </c>
      <c r="X124">
        <v>123.7</v>
      </c>
      <c r="Y124">
        <v>112.8</v>
      </c>
      <c r="Z124">
        <v>121.5</v>
      </c>
      <c r="AA124">
        <v>128.5</v>
      </c>
      <c r="AB124">
        <v>119.2</v>
      </c>
      <c r="AC124">
        <v>120.7</v>
      </c>
      <c r="AD124">
        <v>128.6</v>
      </c>
    </row>
    <row r="125" spans="1:30" x14ac:dyDescent="0.25">
      <c r="A125" t="s">
        <v>30</v>
      </c>
      <c r="B125">
        <v>2016</v>
      </c>
      <c r="C125" t="s">
        <v>39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>
        <v>136.30000000000001</v>
      </c>
      <c r="S125">
        <v>131.6</v>
      </c>
      <c r="T125">
        <v>135.6</v>
      </c>
      <c r="U125" t="s">
        <v>32</v>
      </c>
      <c r="V125">
        <v>128</v>
      </c>
      <c r="W125">
        <v>129.30000000000001</v>
      </c>
      <c r="X125">
        <v>126.2</v>
      </c>
      <c r="Y125">
        <v>116.3</v>
      </c>
      <c r="Z125">
        <v>124.1</v>
      </c>
      <c r="AA125">
        <v>130.19999999999999</v>
      </c>
      <c r="AB125">
        <v>119.9</v>
      </c>
      <c r="AC125">
        <v>123.3</v>
      </c>
      <c r="AD125">
        <v>131.9</v>
      </c>
    </row>
    <row r="126" spans="1:30" x14ac:dyDescent="0.25">
      <c r="A126" t="s">
        <v>33</v>
      </c>
      <c r="B126">
        <v>2016</v>
      </c>
      <c r="C126" t="s">
        <v>39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>
        <v>127.6</v>
      </c>
      <c r="S126">
        <v>121.1</v>
      </c>
      <c r="T126">
        <v>126.6</v>
      </c>
      <c r="U126">
        <v>125.5</v>
      </c>
      <c r="V126">
        <v>115.5</v>
      </c>
      <c r="W126">
        <v>123.2</v>
      </c>
      <c r="X126">
        <v>120.6</v>
      </c>
      <c r="Y126">
        <v>112.3</v>
      </c>
      <c r="Z126">
        <v>119.9</v>
      </c>
      <c r="AA126">
        <v>129.30000000000001</v>
      </c>
      <c r="AB126">
        <v>118.8</v>
      </c>
      <c r="AC126">
        <v>119.6</v>
      </c>
      <c r="AD126">
        <v>128.1</v>
      </c>
    </row>
    <row r="127" spans="1:30" x14ac:dyDescent="0.25">
      <c r="A127" t="s">
        <v>34</v>
      </c>
      <c r="B127">
        <v>2016</v>
      </c>
      <c r="C127" t="s">
        <v>39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>
        <v>132.9</v>
      </c>
      <c r="S127">
        <v>127.2</v>
      </c>
      <c r="T127">
        <v>132</v>
      </c>
      <c r="U127">
        <v>125.5</v>
      </c>
      <c r="V127">
        <v>123.3</v>
      </c>
      <c r="W127">
        <v>126.4</v>
      </c>
      <c r="X127">
        <v>124.1</v>
      </c>
      <c r="Y127">
        <v>114.2</v>
      </c>
      <c r="Z127">
        <v>121.7</v>
      </c>
      <c r="AA127">
        <v>129.69999999999999</v>
      </c>
      <c r="AB127">
        <v>119.4</v>
      </c>
      <c r="AC127">
        <v>121.5</v>
      </c>
      <c r="AD127">
        <v>130.1</v>
      </c>
    </row>
    <row r="128" spans="1:30" x14ac:dyDescent="0.25">
      <c r="A128" t="s">
        <v>30</v>
      </c>
      <c r="B128">
        <v>2016</v>
      </c>
      <c r="C128" t="s">
        <v>40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>
        <v>137.19999999999999</v>
      </c>
      <c r="S128">
        <v>132.19999999999999</v>
      </c>
      <c r="T128">
        <v>136.5</v>
      </c>
      <c r="U128" t="s">
        <v>32</v>
      </c>
      <c r="V128">
        <v>128.19999999999999</v>
      </c>
      <c r="W128">
        <v>130</v>
      </c>
      <c r="X128">
        <v>126.7</v>
      </c>
      <c r="Y128">
        <v>116.4</v>
      </c>
      <c r="Z128">
        <v>125.2</v>
      </c>
      <c r="AA128">
        <v>130.80000000000001</v>
      </c>
      <c r="AB128">
        <v>120.9</v>
      </c>
      <c r="AC128">
        <v>123.8</v>
      </c>
      <c r="AD128">
        <v>133</v>
      </c>
    </row>
    <row r="129" spans="1:30" x14ac:dyDescent="0.25">
      <c r="A129" t="s">
        <v>33</v>
      </c>
      <c r="B129">
        <v>2016</v>
      </c>
      <c r="C129" t="s">
        <v>40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>
        <v>127.9</v>
      </c>
      <c r="S129">
        <v>121.1</v>
      </c>
      <c r="T129">
        <v>126.9</v>
      </c>
      <c r="U129">
        <v>126.4</v>
      </c>
      <c r="V129">
        <v>115.5</v>
      </c>
      <c r="W129">
        <v>123.5</v>
      </c>
      <c r="X129">
        <v>120.9</v>
      </c>
      <c r="Y129">
        <v>111.7</v>
      </c>
      <c r="Z129">
        <v>120.3</v>
      </c>
      <c r="AA129">
        <v>130.80000000000001</v>
      </c>
      <c r="AB129">
        <v>120</v>
      </c>
      <c r="AC129">
        <v>119.9</v>
      </c>
      <c r="AD129">
        <v>129</v>
      </c>
    </row>
    <row r="130" spans="1:30" x14ac:dyDescent="0.25">
      <c r="A130" t="s">
        <v>34</v>
      </c>
      <c r="B130">
        <v>2016</v>
      </c>
      <c r="C130" t="s">
        <v>40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>
        <v>133.5</v>
      </c>
      <c r="S130">
        <v>127.6</v>
      </c>
      <c r="T130">
        <v>132.69999999999999</v>
      </c>
      <c r="U130">
        <v>126.4</v>
      </c>
      <c r="V130">
        <v>123.4</v>
      </c>
      <c r="W130">
        <v>126.9</v>
      </c>
      <c r="X130">
        <v>124.5</v>
      </c>
      <c r="Y130">
        <v>113.9</v>
      </c>
      <c r="Z130">
        <v>122.4</v>
      </c>
      <c r="AA130">
        <v>130.80000000000001</v>
      </c>
      <c r="AB130">
        <v>120.5</v>
      </c>
      <c r="AC130">
        <v>121.9</v>
      </c>
      <c r="AD130">
        <v>131.1</v>
      </c>
    </row>
    <row r="131" spans="1:30" x14ac:dyDescent="0.25">
      <c r="A131" t="s">
        <v>30</v>
      </c>
      <c r="B131">
        <v>2016</v>
      </c>
      <c r="C131" t="s">
        <v>41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>
        <v>137.80000000000001</v>
      </c>
      <c r="S131">
        <v>133</v>
      </c>
      <c r="T131">
        <v>137.1</v>
      </c>
      <c r="U131" t="s">
        <v>32</v>
      </c>
      <c r="V131">
        <v>129.1</v>
      </c>
      <c r="W131">
        <v>130.6</v>
      </c>
      <c r="X131">
        <v>127</v>
      </c>
      <c r="Y131">
        <v>116</v>
      </c>
      <c r="Z131">
        <v>125.5</v>
      </c>
      <c r="AA131">
        <v>131.9</v>
      </c>
      <c r="AB131">
        <v>122</v>
      </c>
      <c r="AC131">
        <v>124.2</v>
      </c>
      <c r="AD131">
        <v>133.5</v>
      </c>
    </row>
    <row r="132" spans="1:30" x14ac:dyDescent="0.25">
      <c r="A132" t="s">
        <v>33</v>
      </c>
      <c r="B132">
        <v>2016</v>
      </c>
      <c r="C132" t="s">
        <v>41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>
        <v>128.30000000000001</v>
      </c>
      <c r="S132">
        <v>121.4</v>
      </c>
      <c r="T132">
        <v>127.3</v>
      </c>
      <c r="U132">
        <v>127.3</v>
      </c>
      <c r="V132">
        <v>114.7</v>
      </c>
      <c r="W132">
        <v>123.9</v>
      </c>
      <c r="X132">
        <v>121.2</v>
      </c>
      <c r="Y132">
        <v>110.4</v>
      </c>
      <c r="Z132">
        <v>120.6</v>
      </c>
      <c r="AA132">
        <v>131.5</v>
      </c>
      <c r="AB132">
        <v>120.9</v>
      </c>
      <c r="AC132">
        <v>119.9</v>
      </c>
      <c r="AD132">
        <v>128.4</v>
      </c>
    </row>
    <row r="133" spans="1:30" x14ac:dyDescent="0.25">
      <c r="A133" t="s">
        <v>34</v>
      </c>
      <c r="B133">
        <v>2016</v>
      </c>
      <c r="C133" t="s">
        <v>41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>
        <v>134.1</v>
      </c>
      <c r="S133">
        <v>128.19999999999999</v>
      </c>
      <c r="T133">
        <v>133.19999999999999</v>
      </c>
      <c r="U133">
        <v>127.3</v>
      </c>
      <c r="V133">
        <v>123.6</v>
      </c>
      <c r="W133">
        <v>127.4</v>
      </c>
      <c r="X133">
        <v>124.8</v>
      </c>
      <c r="Y133">
        <v>113.1</v>
      </c>
      <c r="Z133">
        <v>122.7</v>
      </c>
      <c r="AA133">
        <v>131.69999999999999</v>
      </c>
      <c r="AB133">
        <v>121.5</v>
      </c>
      <c r="AC133">
        <v>122.1</v>
      </c>
      <c r="AD133">
        <v>131.1</v>
      </c>
    </row>
    <row r="134" spans="1:30" x14ac:dyDescent="0.25">
      <c r="A134" t="s">
        <v>30</v>
      </c>
      <c r="B134">
        <v>2016</v>
      </c>
      <c r="C134" t="s">
        <v>42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>
        <v>138.5</v>
      </c>
      <c r="S134">
        <v>133.5</v>
      </c>
      <c r="T134">
        <v>137.80000000000001</v>
      </c>
      <c r="U134" t="s">
        <v>32</v>
      </c>
      <c r="V134">
        <v>129.69999999999999</v>
      </c>
      <c r="W134">
        <v>131.1</v>
      </c>
      <c r="X134">
        <v>127.8</v>
      </c>
      <c r="Y134">
        <v>117</v>
      </c>
      <c r="Z134">
        <v>125.7</v>
      </c>
      <c r="AA134">
        <v>132.19999999999999</v>
      </c>
      <c r="AB134">
        <v>122.8</v>
      </c>
      <c r="AC134">
        <v>124.9</v>
      </c>
      <c r="AD134">
        <v>133.4</v>
      </c>
    </row>
    <row r="135" spans="1:30" x14ac:dyDescent="0.25">
      <c r="A135" t="s">
        <v>33</v>
      </c>
      <c r="B135">
        <v>2016</v>
      </c>
      <c r="C135" t="s">
        <v>42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>
        <v>128.69999999999999</v>
      </c>
      <c r="S135">
        <v>121.6</v>
      </c>
      <c r="T135">
        <v>127.7</v>
      </c>
      <c r="U135">
        <v>127.9</v>
      </c>
      <c r="V135">
        <v>114.8</v>
      </c>
      <c r="W135">
        <v>124.3</v>
      </c>
      <c r="X135">
        <v>121.4</v>
      </c>
      <c r="Y135">
        <v>111.8</v>
      </c>
      <c r="Z135">
        <v>120.8</v>
      </c>
      <c r="AA135">
        <v>131.6</v>
      </c>
      <c r="AB135">
        <v>121.2</v>
      </c>
      <c r="AC135">
        <v>120.5</v>
      </c>
      <c r="AD135">
        <v>128</v>
      </c>
    </row>
    <row r="136" spans="1:30" x14ac:dyDescent="0.25">
      <c r="A136" t="s">
        <v>34</v>
      </c>
      <c r="B136">
        <v>2016</v>
      </c>
      <c r="C136" t="s">
        <v>42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>
        <v>134.6</v>
      </c>
      <c r="S136">
        <v>128.6</v>
      </c>
      <c r="T136">
        <v>133.80000000000001</v>
      </c>
      <c r="U136">
        <v>127.9</v>
      </c>
      <c r="V136">
        <v>124.1</v>
      </c>
      <c r="W136">
        <v>127.9</v>
      </c>
      <c r="X136">
        <v>125.4</v>
      </c>
      <c r="Y136">
        <v>114.3</v>
      </c>
      <c r="Z136">
        <v>122.9</v>
      </c>
      <c r="AA136">
        <v>131.80000000000001</v>
      </c>
      <c r="AB136">
        <v>122.1</v>
      </c>
      <c r="AC136">
        <v>122.8</v>
      </c>
      <c r="AD136">
        <v>130.9</v>
      </c>
    </row>
    <row r="137" spans="1:30" x14ac:dyDescent="0.25">
      <c r="A137" t="s">
        <v>30</v>
      </c>
      <c r="B137">
        <v>2016</v>
      </c>
      <c r="C137" t="s">
        <v>43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>
        <v>139.6</v>
      </c>
      <c r="S137">
        <v>134.30000000000001</v>
      </c>
      <c r="T137">
        <v>138.80000000000001</v>
      </c>
      <c r="U137" t="s">
        <v>32</v>
      </c>
      <c r="V137">
        <v>129.80000000000001</v>
      </c>
      <c r="W137">
        <v>131.80000000000001</v>
      </c>
      <c r="X137">
        <v>128.69999999999999</v>
      </c>
      <c r="Y137">
        <v>117.8</v>
      </c>
      <c r="Z137">
        <v>126.5</v>
      </c>
      <c r="AA137">
        <v>133</v>
      </c>
      <c r="AB137">
        <v>123</v>
      </c>
      <c r="AC137">
        <v>125.7</v>
      </c>
      <c r="AD137">
        <v>133.80000000000001</v>
      </c>
    </row>
    <row r="138" spans="1:30" x14ac:dyDescent="0.25">
      <c r="A138" t="s">
        <v>33</v>
      </c>
      <c r="B138">
        <v>2016</v>
      </c>
      <c r="C138" t="s">
        <v>43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>
        <v>129.1</v>
      </c>
      <c r="S138">
        <v>121.9</v>
      </c>
      <c r="T138">
        <v>128</v>
      </c>
      <c r="U138">
        <v>128.69999999999999</v>
      </c>
      <c r="V138">
        <v>115.2</v>
      </c>
      <c r="W138">
        <v>124.5</v>
      </c>
      <c r="X138">
        <v>121.8</v>
      </c>
      <c r="Y138">
        <v>112.8</v>
      </c>
      <c r="Z138">
        <v>121.2</v>
      </c>
      <c r="AA138">
        <v>131.9</v>
      </c>
      <c r="AB138">
        <v>120.8</v>
      </c>
      <c r="AC138">
        <v>120.9</v>
      </c>
      <c r="AD138">
        <v>128.6</v>
      </c>
    </row>
    <row r="139" spans="1:30" x14ac:dyDescent="0.25">
      <c r="A139" t="s">
        <v>34</v>
      </c>
      <c r="B139">
        <v>2016</v>
      </c>
      <c r="C139" t="s">
        <v>43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>
        <v>135.5</v>
      </c>
      <c r="S139">
        <v>129.1</v>
      </c>
      <c r="T139">
        <v>134.5</v>
      </c>
      <c r="U139">
        <v>128.69999999999999</v>
      </c>
      <c r="V139">
        <v>124.3</v>
      </c>
      <c r="W139">
        <v>128.4</v>
      </c>
      <c r="X139">
        <v>126.1</v>
      </c>
      <c r="Y139">
        <v>115.2</v>
      </c>
      <c r="Z139">
        <v>123.5</v>
      </c>
      <c r="AA139">
        <v>132.4</v>
      </c>
      <c r="AB139">
        <v>122.1</v>
      </c>
      <c r="AC139">
        <v>123.4</v>
      </c>
      <c r="AD139">
        <v>131.4</v>
      </c>
    </row>
    <row r="140" spans="1:30" x14ac:dyDescent="0.25">
      <c r="A140" t="s">
        <v>30</v>
      </c>
      <c r="B140">
        <v>2016</v>
      </c>
      <c r="C140" t="s">
        <v>45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>
        <v>139.9</v>
      </c>
      <c r="S140">
        <v>134.5</v>
      </c>
      <c r="T140">
        <v>139.19999999999999</v>
      </c>
      <c r="U140" t="s">
        <v>32</v>
      </c>
      <c r="V140">
        <v>130.30000000000001</v>
      </c>
      <c r="W140">
        <v>132.1</v>
      </c>
      <c r="X140">
        <v>129.1</v>
      </c>
      <c r="Y140">
        <v>118.2</v>
      </c>
      <c r="Z140">
        <v>126.9</v>
      </c>
      <c r="AA140">
        <v>133.69999999999999</v>
      </c>
      <c r="AB140">
        <v>123.5</v>
      </c>
      <c r="AC140">
        <v>126.1</v>
      </c>
      <c r="AD140">
        <v>133.6</v>
      </c>
    </row>
    <row r="141" spans="1:30" x14ac:dyDescent="0.25">
      <c r="A141" t="s">
        <v>33</v>
      </c>
      <c r="B141">
        <v>2016</v>
      </c>
      <c r="C141" t="s">
        <v>45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>
        <v>129.6</v>
      </c>
      <c r="S141">
        <v>122.1</v>
      </c>
      <c r="T141">
        <v>128.5</v>
      </c>
      <c r="U141">
        <v>129.1</v>
      </c>
      <c r="V141">
        <v>116.2</v>
      </c>
      <c r="W141">
        <v>124.7</v>
      </c>
      <c r="X141">
        <v>122.1</v>
      </c>
      <c r="Y141">
        <v>113.4</v>
      </c>
      <c r="Z141">
        <v>121.7</v>
      </c>
      <c r="AA141">
        <v>132.1</v>
      </c>
      <c r="AB141">
        <v>121.3</v>
      </c>
      <c r="AC141">
        <v>121.3</v>
      </c>
      <c r="AD141">
        <v>128.5</v>
      </c>
    </row>
    <row r="142" spans="1:30" x14ac:dyDescent="0.25">
      <c r="A142" t="s">
        <v>34</v>
      </c>
      <c r="B142">
        <v>2016</v>
      </c>
      <c r="C142" t="s">
        <v>45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>
        <v>135.80000000000001</v>
      </c>
      <c r="S142">
        <v>129.30000000000001</v>
      </c>
      <c r="T142">
        <v>135</v>
      </c>
      <c r="U142">
        <v>129.1</v>
      </c>
      <c r="V142">
        <v>125</v>
      </c>
      <c r="W142">
        <v>128.6</v>
      </c>
      <c r="X142">
        <v>126.4</v>
      </c>
      <c r="Y142">
        <v>115.7</v>
      </c>
      <c r="Z142">
        <v>124</v>
      </c>
      <c r="AA142">
        <v>132.80000000000001</v>
      </c>
      <c r="AB142">
        <v>122.6</v>
      </c>
      <c r="AC142">
        <v>123.8</v>
      </c>
      <c r="AD142">
        <v>131.19999999999999</v>
      </c>
    </row>
    <row r="143" spans="1:30" x14ac:dyDescent="0.25">
      <c r="A143" t="s">
        <v>30</v>
      </c>
      <c r="B143">
        <v>2016</v>
      </c>
      <c r="C143" t="s">
        <v>46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>
        <v>140.4</v>
      </c>
      <c r="S143">
        <v>135.19999999999999</v>
      </c>
      <c r="T143">
        <v>139.69999999999999</v>
      </c>
      <c r="U143" t="s">
        <v>32</v>
      </c>
      <c r="V143">
        <v>132</v>
      </c>
      <c r="W143">
        <v>132.9</v>
      </c>
      <c r="X143">
        <v>129.69999999999999</v>
      </c>
      <c r="Y143">
        <v>118.6</v>
      </c>
      <c r="Z143">
        <v>127.3</v>
      </c>
      <c r="AA143">
        <v>134.19999999999999</v>
      </c>
      <c r="AB143">
        <v>121.9</v>
      </c>
      <c r="AC143">
        <v>126.3</v>
      </c>
      <c r="AD143">
        <v>132.80000000000001</v>
      </c>
    </row>
    <row r="144" spans="1:30" x14ac:dyDescent="0.25">
      <c r="A144" t="s">
        <v>33</v>
      </c>
      <c r="B144">
        <v>2016</v>
      </c>
      <c r="C144" t="s">
        <v>46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>
        <v>130</v>
      </c>
      <c r="S144">
        <v>122.2</v>
      </c>
      <c r="T144">
        <v>128.80000000000001</v>
      </c>
      <c r="U144">
        <v>128.5</v>
      </c>
      <c r="V144">
        <v>117.8</v>
      </c>
      <c r="W144">
        <v>125</v>
      </c>
      <c r="X144">
        <v>122.3</v>
      </c>
      <c r="Y144">
        <v>113.7</v>
      </c>
      <c r="Z144">
        <v>121.8</v>
      </c>
      <c r="AA144">
        <v>132.30000000000001</v>
      </c>
      <c r="AB144">
        <v>119.9</v>
      </c>
      <c r="AC144">
        <v>121.4</v>
      </c>
      <c r="AD144">
        <v>127.6</v>
      </c>
    </row>
    <row r="145" spans="1:30" x14ac:dyDescent="0.25">
      <c r="A145" t="s">
        <v>34</v>
      </c>
      <c r="B145">
        <v>2016</v>
      </c>
      <c r="C145" t="s">
        <v>46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>
        <v>136.30000000000001</v>
      </c>
      <c r="S145">
        <v>129.80000000000001</v>
      </c>
      <c r="T145">
        <v>135.4</v>
      </c>
      <c r="U145">
        <v>128.5</v>
      </c>
      <c r="V145">
        <v>126.6</v>
      </c>
      <c r="W145">
        <v>129.19999999999999</v>
      </c>
      <c r="X145">
        <v>126.9</v>
      </c>
      <c r="Y145">
        <v>116</v>
      </c>
      <c r="Z145">
        <v>124.2</v>
      </c>
      <c r="AA145">
        <v>133.1</v>
      </c>
      <c r="AB145">
        <v>121.1</v>
      </c>
      <c r="AC145">
        <v>123.9</v>
      </c>
      <c r="AD145">
        <v>130.4</v>
      </c>
    </row>
    <row r="146" spans="1:30" x14ac:dyDescent="0.25">
      <c r="A146" t="s">
        <v>30</v>
      </c>
      <c r="B146">
        <v>2017</v>
      </c>
      <c r="C146" t="s">
        <v>31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>
        <v>140.69999999999999</v>
      </c>
      <c r="S146">
        <v>135.80000000000001</v>
      </c>
      <c r="T146">
        <v>140</v>
      </c>
      <c r="U146" t="s">
        <v>32</v>
      </c>
      <c r="V146">
        <v>132.1</v>
      </c>
      <c r="W146">
        <v>133.19999999999999</v>
      </c>
      <c r="X146">
        <v>129.9</v>
      </c>
      <c r="Y146">
        <v>119.1</v>
      </c>
      <c r="Z146">
        <v>127</v>
      </c>
      <c r="AA146">
        <v>134.6</v>
      </c>
      <c r="AB146">
        <v>122.3</v>
      </c>
      <c r="AC146">
        <v>126.6</v>
      </c>
      <c r="AD146">
        <v>132.4</v>
      </c>
    </row>
    <row r="147" spans="1:30" x14ac:dyDescent="0.25">
      <c r="A147" t="s">
        <v>33</v>
      </c>
      <c r="B147">
        <v>2017</v>
      </c>
      <c r="C147" t="s">
        <v>31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>
        <v>130.19999999999999</v>
      </c>
      <c r="S147">
        <v>122.3</v>
      </c>
      <c r="T147">
        <v>129</v>
      </c>
      <c r="U147">
        <v>129.6</v>
      </c>
      <c r="V147">
        <v>118</v>
      </c>
      <c r="W147">
        <v>125.1</v>
      </c>
      <c r="X147">
        <v>122.6</v>
      </c>
      <c r="Y147">
        <v>115.2</v>
      </c>
      <c r="Z147">
        <v>122</v>
      </c>
      <c r="AA147">
        <v>132.4</v>
      </c>
      <c r="AB147">
        <v>120.9</v>
      </c>
      <c r="AC147">
        <v>122.1</v>
      </c>
      <c r="AD147">
        <v>127.8</v>
      </c>
    </row>
    <row r="148" spans="1:30" x14ac:dyDescent="0.25">
      <c r="A148" t="s">
        <v>34</v>
      </c>
      <c r="B148">
        <v>2017</v>
      </c>
      <c r="C148" t="s">
        <v>31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>
        <v>136.6</v>
      </c>
      <c r="S148">
        <v>130.19999999999999</v>
      </c>
      <c r="T148">
        <v>135.6</v>
      </c>
      <c r="U148">
        <v>129.6</v>
      </c>
      <c r="V148">
        <v>126.8</v>
      </c>
      <c r="W148">
        <v>129.4</v>
      </c>
      <c r="X148">
        <v>127.1</v>
      </c>
      <c r="Y148">
        <v>117</v>
      </c>
      <c r="Z148">
        <v>124.2</v>
      </c>
      <c r="AA148">
        <v>133.30000000000001</v>
      </c>
      <c r="AB148">
        <v>121.7</v>
      </c>
      <c r="AC148">
        <v>124.4</v>
      </c>
      <c r="AD148">
        <v>130.30000000000001</v>
      </c>
    </row>
    <row r="149" spans="1:30" x14ac:dyDescent="0.25">
      <c r="A149" t="s">
        <v>30</v>
      </c>
      <c r="B149">
        <v>2017</v>
      </c>
      <c r="C149" t="s">
        <v>35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>
        <v>140.9</v>
      </c>
      <c r="S149">
        <v>135.80000000000001</v>
      </c>
      <c r="T149">
        <v>140.19999999999999</v>
      </c>
      <c r="U149" t="s">
        <v>32</v>
      </c>
      <c r="V149">
        <v>133.19999999999999</v>
      </c>
      <c r="W149">
        <v>133.6</v>
      </c>
      <c r="X149">
        <v>130.1</v>
      </c>
      <c r="Y149">
        <v>119.5</v>
      </c>
      <c r="Z149">
        <v>127.7</v>
      </c>
      <c r="AA149">
        <v>134.9</v>
      </c>
      <c r="AB149">
        <v>123.2</v>
      </c>
      <c r="AC149">
        <v>127</v>
      </c>
      <c r="AD149">
        <v>132.6</v>
      </c>
    </row>
    <row r="150" spans="1:30" x14ac:dyDescent="0.25">
      <c r="A150" t="s">
        <v>33</v>
      </c>
      <c r="B150">
        <v>2017</v>
      </c>
      <c r="C150" t="s">
        <v>35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>
        <v>130.5</v>
      </c>
      <c r="S150">
        <v>122.5</v>
      </c>
      <c r="T150">
        <v>129.30000000000001</v>
      </c>
      <c r="U150">
        <v>130.5</v>
      </c>
      <c r="V150">
        <v>119.2</v>
      </c>
      <c r="W150">
        <v>125.3</v>
      </c>
      <c r="X150">
        <v>122.9</v>
      </c>
      <c r="Y150">
        <v>115.5</v>
      </c>
      <c r="Z150">
        <v>122.2</v>
      </c>
      <c r="AA150">
        <v>132.4</v>
      </c>
      <c r="AB150">
        <v>121.7</v>
      </c>
      <c r="AC150">
        <v>122.4</v>
      </c>
      <c r="AD150">
        <v>128.19999999999999</v>
      </c>
    </row>
    <row r="151" spans="1:30" x14ac:dyDescent="0.25">
      <c r="A151" t="s">
        <v>34</v>
      </c>
      <c r="B151">
        <v>2017</v>
      </c>
      <c r="C151" t="s">
        <v>35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>
        <v>136.80000000000001</v>
      </c>
      <c r="S151">
        <v>130.30000000000001</v>
      </c>
      <c r="T151">
        <v>135.9</v>
      </c>
      <c r="U151">
        <v>130.5</v>
      </c>
      <c r="V151">
        <v>127.9</v>
      </c>
      <c r="W151">
        <v>129.69999999999999</v>
      </c>
      <c r="X151">
        <v>127.4</v>
      </c>
      <c r="Y151">
        <v>117.4</v>
      </c>
      <c r="Z151">
        <v>124.6</v>
      </c>
      <c r="AA151">
        <v>133.4</v>
      </c>
      <c r="AB151">
        <v>122.6</v>
      </c>
      <c r="AC151">
        <v>124.8</v>
      </c>
      <c r="AD151">
        <v>130.6</v>
      </c>
    </row>
    <row r="152" spans="1:30" x14ac:dyDescent="0.25">
      <c r="A152" t="s">
        <v>30</v>
      </c>
      <c r="B152">
        <v>2017</v>
      </c>
      <c r="C152" t="s">
        <v>36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>
        <v>141.6</v>
      </c>
      <c r="S152">
        <v>136.19999999999999</v>
      </c>
      <c r="T152">
        <v>140.80000000000001</v>
      </c>
      <c r="U152" t="s">
        <v>32</v>
      </c>
      <c r="V152">
        <v>134.19999999999999</v>
      </c>
      <c r="W152">
        <v>134.1</v>
      </c>
      <c r="X152">
        <v>130.6</v>
      </c>
      <c r="Y152">
        <v>119.8</v>
      </c>
      <c r="Z152">
        <v>128.30000000000001</v>
      </c>
      <c r="AA152">
        <v>135.19999999999999</v>
      </c>
      <c r="AB152">
        <v>123.3</v>
      </c>
      <c r="AC152">
        <v>127.4</v>
      </c>
      <c r="AD152">
        <v>132.80000000000001</v>
      </c>
    </row>
    <row r="153" spans="1:30" x14ac:dyDescent="0.25">
      <c r="A153" t="s">
        <v>33</v>
      </c>
      <c r="B153">
        <v>2017</v>
      </c>
      <c r="C153" t="s">
        <v>36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>
        <v>130.80000000000001</v>
      </c>
      <c r="S153">
        <v>122.8</v>
      </c>
      <c r="T153">
        <v>129.6</v>
      </c>
      <c r="U153">
        <v>131.1</v>
      </c>
      <c r="V153">
        <v>120.8</v>
      </c>
      <c r="W153">
        <v>125.6</v>
      </c>
      <c r="X153">
        <v>123.1</v>
      </c>
      <c r="Y153">
        <v>115.6</v>
      </c>
      <c r="Z153">
        <v>122.4</v>
      </c>
      <c r="AA153">
        <v>132.80000000000001</v>
      </c>
      <c r="AB153">
        <v>121.7</v>
      </c>
      <c r="AC153">
        <v>122.6</v>
      </c>
      <c r="AD153">
        <v>128.69999999999999</v>
      </c>
    </row>
    <row r="154" spans="1:30" x14ac:dyDescent="0.25">
      <c r="A154" t="s">
        <v>34</v>
      </c>
      <c r="B154">
        <v>2017</v>
      </c>
      <c r="C154" t="s">
        <v>36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>
        <v>137.30000000000001</v>
      </c>
      <c r="S154">
        <v>130.6</v>
      </c>
      <c r="T154">
        <v>136.4</v>
      </c>
      <c r="U154">
        <v>131.1</v>
      </c>
      <c r="V154">
        <v>129.1</v>
      </c>
      <c r="W154">
        <v>130.1</v>
      </c>
      <c r="X154">
        <v>127.8</v>
      </c>
      <c r="Y154">
        <v>117.6</v>
      </c>
      <c r="Z154">
        <v>125</v>
      </c>
      <c r="AA154">
        <v>133.80000000000001</v>
      </c>
      <c r="AB154">
        <v>122.6</v>
      </c>
      <c r="AC154">
        <v>125.1</v>
      </c>
      <c r="AD154">
        <v>130.9</v>
      </c>
    </row>
    <row r="155" spans="1:30" x14ac:dyDescent="0.25">
      <c r="A155" t="s">
        <v>30</v>
      </c>
      <c r="B155">
        <v>2017</v>
      </c>
      <c r="C155" t="s">
        <v>37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>
        <v>142.4</v>
      </c>
      <c r="S155">
        <v>136.80000000000001</v>
      </c>
      <c r="T155">
        <v>141.6</v>
      </c>
      <c r="U155" t="s">
        <v>32</v>
      </c>
      <c r="V155">
        <v>135</v>
      </c>
      <c r="W155">
        <v>134.30000000000001</v>
      </c>
      <c r="X155">
        <v>131</v>
      </c>
      <c r="Y155">
        <v>119.2</v>
      </c>
      <c r="Z155">
        <v>128.30000000000001</v>
      </c>
      <c r="AA155">
        <v>135.69999999999999</v>
      </c>
      <c r="AB155">
        <v>123.7</v>
      </c>
      <c r="AC155">
        <v>127.5</v>
      </c>
      <c r="AD155">
        <v>132.9</v>
      </c>
    </row>
    <row r="156" spans="1:30" x14ac:dyDescent="0.25">
      <c r="A156" t="s">
        <v>33</v>
      </c>
      <c r="B156">
        <v>2017</v>
      </c>
      <c r="C156" t="s">
        <v>37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>
        <v>131.19999999999999</v>
      </c>
      <c r="S156">
        <v>123</v>
      </c>
      <c r="T156">
        <v>130</v>
      </c>
      <c r="U156">
        <v>131.69999999999999</v>
      </c>
      <c r="V156">
        <v>121.4</v>
      </c>
      <c r="W156">
        <v>126</v>
      </c>
      <c r="X156">
        <v>123.4</v>
      </c>
      <c r="Y156">
        <v>114.3</v>
      </c>
      <c r="Z156">
        <v>122.6</v>
      </c>
      <c r="AA156">
        <v>133.6</v>
      </c>
      <c r="AB156">
        <v>122.2</v>
      </c>
      <c r="AC156">
        <v>122.5</v>
      </c>
      <c r="AD156">
        <v>129.1</v>
      </c>
    </row>
    <row r="157" spans="1:30" x14ac:dyDescent="0.25">
      <c r="A157" t="s">
        <v>34</v>
      </c>
      <c r="B157">
        <v>2017</v>
      </c>
      <c r="C157" t="s">
        <v>37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>
        <v>138</v>
      </c>
      <c r="S157">
        <v>131.1</v>
      </c>
      <c r="T157">
        <v>137</v>
      </c>
      <c r="U157">
        <v>131.69999999999999</v>
      </c>
      <c r="V157">
        <v>129.80000000000001</v>
      </c>
      <c r="W157">
        <v>130.4</v>
      </c>
      <c r="X157">
        <v>128.1</v>
      </c>
      <c r="Y157">
        <v>116.6</v>
      </c>
      <c r="Z157">
        <v>125.1</v>
      </c>
      <c r="AA157">
        <v>134.5</v>
      </c>
      <c r="AB157">
        <v>123.1</v>
      </c>
      <c r="AC157">
        <v>125.1</v>
      </c>
      <c r="AD157">
        <v>131.1</v>
      </c>
    </row>
    <row r="158" spans="1:30" x14ac:dyDescent="0.25">
      <c r="A158" t="s">
        <v>30</v>
      </c>
      <c r="B158">
        <v>2017</v>
      </c>
      <c r="C158" t="s">
        <v>38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>
        <v>142.5</v>
      </c>
      <c r="S158">
        <v>137.30000000000001</v>
      </c>
      <c r="T158">
        <v>141.80000000000001</v>
      </c>
      <c r="U158" t="s">
        <v>32</v>
      </c>
      <c r="V158">
        <v>135</v>
      </c>
      <c r="W158">
        <v>134.9</v>
      </c>
      <c r="X158">
        <v>131.4</v>
      </c>
      <c r="Y158">
        <v>119.4</v>
      </c>
      <c r="Z158">
        <v>129.4</v>
      </c>
      <c r="AA158">
        <v>136.30000000000001</v>
      </c>
      <c r="AB158">
        <v>123.7</v>
      </c>
      <c r="AC158">
        <v>127.9</v>
      </c>
      <c r="AD158">
        <v>133.30000000000001</v>
      </c>
    </row>
    <row r="159" spans="1:30" x14ac:dyDescent="0.25">
      <c r="A159" t="s">
        <v>33</v>
      </c>
      <c r="B159">
        <v>2017</v>
      </c>
      <c r="C159" t="s">
        <v>38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>
        <v>131.5</v>
      </c>
      <c r="S159">
        <v>123.2</v>
      </c>
      <c r="T159">
        <v>130.19999999999999</v>
      </c>
      <c r="U159">
        <v>132.1</v>
      </c>
      <c r="V159">
        <v>120.1</v>
      </c>
      <c r="W159">
        <v>126.5</v>
      </c>
      <c r="X159">
        <v>123.6</v>
      </c>
      <c r="Y159">
        <v>114.3</v>
      </c>
      <c r="Z159">
        <v>122.8</v>
      </c>
      <c r="AA159">
        <v>133.80000000000001</v>
      </c>
      <c r="AB159">
        <v>122</v>
      </c>
      <c r="AC159">
        <v>122.6</v>
      </c>
      <c r="AD159">
        <v>129.30000000000001</v>
      </c>
    </row>
    <row r="160" spans="1:30" x14ac:dyDescent="0.25">
      <c r="A160" t="s">
        <v>34</v>
      </c>
      <c r="B160">
        <v>2017</v>
      </c>
      <c r="C160" t="s">
        <v>38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>
        <v>138.19999999999999</v>
      </c>
      <c r="S160">
        <v>131.4</v>
      </c>
      <c r="T160">
        <v>137.19999999999999</v>
      </c>
      <c r="U160">
        <v>132.1</v>
      </c>
      <c r="V160">
        <v>129.4</v>
      </c>
      <c r="W160">
        <v>130.9</v>
      </c>
      <c r="X160">
        <v>128.4</v>
      </c>
      <c r="Y160">
        <v>116.7</v>
      </c>
      <c r="Z160">
        <v>125.7</v>
      </c>
      <c r="AA160">
        <v>134.80000000000001</v>
      </c>
      <c r="AB160">
        <v>123</v>
      </c>
      <c r="AC160">
        <v>125.3</v>
      </c>
      <c r="AD160">
        <v>131.4</v>
      </c>
    </row>
    <row r="161" spans="1:30" x14ac:dyDescent="0.25">
      <c r="A161" t="s">
        <v>30</v>
      </c>
      <c r="B161">
        <v>2017</v>
      </c>
      <c r="C161" t="s">
        <v>39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>
        <v>143.1</v>
      </c>
      <c r="S161">
        <v>137.69999999999999</v>
      </c>
      <c r="T161">
        <v>142.30000000000001</v>
      </c>
      <c r="U161" t="s">
        <v>32</v>
      </c>
      <c r="V161">
        <v>134.80000000000001</v>
      </c>
      <c r="W161">
        <v>135.19999999999999</v>
      </c>
      <c r="X161">
        <v>131.30000000000001</v>
      </c>
      <c r="Y161">
        <v>119.4</v>
      </c>
      <c r="Z161">
        <v>129.80000000000001</v>
      </c>
      <c r="AA161">
        <v>136.9</v>
      </c>
      <c r="AB161">
        <v>124.1</v>
      </c>
      <c r="AC161">
        <v>128.1</v>
      </c>
      <c r="AD161">
        <v>133.9</v>
      </c>
    </row>
    <row r="162" spans="1:30" x14ac:dyDescent="0.25">
      <c r="A162" t="s">
        <v>33</v>
      </c>
      <c r="B162">
        <v>2017</v>
      </c>
      <c r="C162" t="s">
        <v>39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>
        <v>131.5</v>
      </c>
      <c r="S162">
        <v>123.2</v>
      </c>
      <c r="T162">
        <v>130.19999999999999</v>
      </c>
      <c r="U162">
        <v>131.4</v>
      </c>
      <c r="V162">
        <v>119</v>
      </c>
      <c r="W162">
        <v>126.8</v>
      </c>
      <c r="X162">
        <v>123.8</v>
      </c>
      <c r="Y162">
        <v>113.9</v>
      </c>
      <c r="Z162">
        <v>122.9</v>
      </c>
      <c r="AA162">
        <v>134.30000000000001</v>
      </c>
      <c r="AB162">
        <v>122.5</v>
      </c>
      <c r="AC162">
        <v>122.7</v>
      </c>
      <c r="AD162">
        <v>129.9</v>
      </c>
    </row>
    <row r="163" spans="1:30" x14ac:dyDescent="0.25">
      <c r="A163" t="s">
        <v>34</v>
      </c>
      <c r="B163">
        <v>2017</v>
      </c>
      <c r="C163" t="s">
        <v>39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>
        <v>138.5</v>
      </c>
      <c r="S163">
        <v>131.69999999999999</v>
      </c>
      <c r="T163">
        <v>137.5</v>
      </c>
      <c r="U163">
        <v>131.4</v>
      </c>
      <c r="V163">
        <v>128.80000000000001</v>
      </c>
      <c r="W163">
        <v>131.19999999999999</v>
      </c>
      <c r="X163">
        <v>128.5</v>
      </c>
      <c r="Y163">
        <v>116.5</v>
      </c>
      <c r="Z163">
        <v>125.9</v>
      </c>
      <c r="AA163">
        <v>135.4</v>
      </c>
      <c r="AB163">
        <v>123.4</v>
      </c>
      <c r="AC163">
        <v>125.5</v>
      </c>
      <c r="AD163">
        <v>132</v>
      </c>
    </row>
    <row r="164" spans="1:30" x14ac:dyDescent="0.25">
      <c r="A164" t="s">
        <v>30</v>
      </c>
      <c r="B164">
        <v>2017</v>
      </c>
      <c r="C164" t="s">
        <v>40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>
        <v>144.30000000000001</v>
      </c>
      <c r="S164">
        <v>138.1</v>
      </c>
      <c r="T164">
        <v>143.5</v>
      </c>
      <c r="U164" t="s">
        <v>32</v>
      </c>
      <c r="V164">
        <v>135.30000000000001</v>
      </c>
      <c r="W164">
        <v>136.1</v>
      </c>
      <c r="X164">
        <v>132.1</v>
      </c>
      <c r="Y164">
        <v>119.1</v>
      </c>
      <c r="Z164">
        <v>130.6</v>
      </c>
      <c r="AA164">
        <v>138.6</v>
      </c>
      <c r="AB164">
        <v>124.4</v>
      </c>
      <c r="AC164">
        <v>128.6</v>
      </c>
      <c r="AD164">
        <v>136.19999999999999</v>
      </c>
    </row>
    <row r="165" spans="1:30" x14ac:dyDescent="0.25">
      <c r="A165" t="s">
        <v>33</v>
      </c>
      <c r="B165">
        <v>2017</v>
      </c>
      <c r="C165" t="s">
        <v>40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>
        <v>131.6</v>
      </c>
      <c r="S165">
        <v>123.7</v>
      </c>
      <c r="T165">
        <v>130.4</v>
      </c>
      <c r="U165">
        <v>132.6</v>
      </c>
      <c r="V165">
        <v>119.7</v>
      </c>
      <c r="W165">
        <v>127.2</v>
      </c>
      <c r="X165">
        <v>125</v>
      </c>
      <c r="Y165">
        <v>113.2</v>
      </c>
      <c r="Z165">
        <v>123.5</v>
      </c>
      <c r="AA165">
        <v>135.5</v>
      </c>
      <c r="AB165">
        <v>122.4</v>
      </c>
      <c r="AC165">
        <v>123</v>
      </c>
      <c r="AD165">
        <v>131.80000000000001</v>
      </c>
    </row>
    <row r="166" spans="1:30" x14ac:dyDescent="0.25">
      <c r="A166" t="s">
        <v>34</v>
      </c>
      <c r="B166">
        <v>2017</v>
      </c>
      <c r="C166" t="s">
        <v>40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>
        <v>139.30000000000001</v>
      </c>
      <c r="S166">
        <v>132.1</v>
      </c>
      <c r="T166">
        <v>138.30000000000001</v>
      </c>
      <c r="U166">
        <v>132.6</v>
      </c>
      <c r="V166">
        <v>129.4</v>
      </c>
      <c r="W166">
        <v>131.9</v>
      </c>
      <c r="X166">
        <v>129.4</v>
      </c>
      <c r="Y166">
        <v>116</v>
      </c>
      <c r="Z166">
        <v>126.6</v>
      </c>
      <c r="AA166">
        <v>136.80000000000001</v>
      </c>
      <c r="AB166">
        <v>123.6</v>
      </c>
      <c r="AC166">
        <v>125.9</v>
      </c>
      <c r="AD166">
        <v>134.19999999999999</v>
      </c>
    </row>
    <row r="167" spans="1:30" x14ac:dyDescent="0.25">
      <c r="A167" t="s">
        <v>30</v>
      </c>
      <c r="B167">
        <v>2017</v>
      </c>
      <c r="C167" t="s">
        <v>41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>
        <v>145.30000000000001</v>
      </c>
      <c r="S167">
        <v>139.19999999999999</v>
      </c>
      <c r="T167">
        <v>144.5</v>
      </c>
      <c r="U167" t="s">
        <v>32</v>
      </c>
      <c r="V167">
        <v>136.4</v>
      </c>
      <c r="W167">
        <v>137.30000000000001</v>
      </c>
      <c r="X167">
        <v>133</v>
      </c>
      <c r="Y167">
        <v>120.3</v>
      </c>
      <c r="Z167">
        <v>131.5</v>
      </c>
      <c r="AA167">
        <v>140.19999999999999</v>
      </c>
      <c r="AB167">
        <v>125.4</v>
      </c>
      <c r="AC167">
        <v>129.69999999999999</v>
      </c>
      <c r="AD167">
        <v>137.80000000000001</v>
      </c>
    </row>
    <row r="168" spans="1:30" x14ac:dyDescent="0.25">
      <c r="A168" t="s">
        <v>33</v>
      </c>
      <c r="B168">
        <v>2017</v>
      </c>
      <c r="C168" t="s">
        <v>41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>
        <v>132.69999999999999</v>
      </c>
      <c r="S168">
        <v>124.3</v>
      </c>
      <c r="T168">
        <v>131.4</v>
      </c>
      <c r="U168">
        <v>134.4</v>
      </c>
      <c r="V168">
        <v>118.9</v>
      </c>
      <c r="W168">
        <v>127.7</v>
      </c>
      <c r="X168">
        <v>125.7</v>
      </c>
      <c r="Y168">
        <v>114.6</v>
      </c>
      <c r="Z168">
        <v>124.1</v>
      </c>
      <c r="AA168">
        <v>135.69999999999999</v>
      </c>
      <c r="AB168">
        <v>123.3</v>
      </c>
      <c r="AC168">
        <v>123.8</v>
      </c>
      <c r="AD168">
        <v>132.69999999999999</v>
      </c>
    </row>
    <row r="169" spans="1:30" x14ac:dyDescent="0.25">
      <c r="A169" t="s">
        <v>34</v>
      </c>
      <c r="B169">
        <v>2017</v>
      </c>
      <c r="C169" t="s">
        <v>41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>
        <v>140.30000000000001</v>
      </c>
      <c r="S169">
        <v>133</v>
      </c>
      <c r="T169">
        <v>139.30000000000001</v>
      </c>
      <c r="U169">
        <v>134.4</v>
      </c>
      <c r="V169">
        <v>129.80000000000001</v>
      </c>
      <c r="W169">
        <v>132.80000000000001</v>
      </c>
      <c r="X169">
        <v>130.19999999999999</v>
      </c>
      <c r="Y169">
        <v>117.3</v>
      </c>
      <c r="Z169">
        <v>127.3</v>
      </c>
      <c r="AA169">
        <v>137.6</v>
      </c>
      <c r="AB169">
        <v>124.5</v>
      </c>
      <c r="AC169">
        <v>126.8</v>
      </c>
      <c r="AD169">
        <v>135.4</v>
      </c>
    </row>
    <row r="170" spans="1:30" x14ac:dyDescent="0.25">
      <c r="A170" t="s">
        <v>30</v>
      </c>
      <c r="B170">
        <v>2017</v>
      </c>
      <c r="C170" t="s">
        <v>42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>
        <v>146.1</v>
      </c>
      <c r="S170">
        <v>139.69999999999999</v>
      </c>
      <c r="T170">
        <v>145.19999999999999</v>
      </c>
      <c r="U170" t="s">
        <v>32</v>
      </c>
      <c r="V170">
        <v>137.4</v>
      </c>
      <c r="W170">
        <v>137.9</v>
      </c>
      <c r="X170">
        <v>133.4</v>
      </c>
      <c r="Y170">
        <v>121.2</v>
      </c>
      <c r="Z170">
        <v>132.30000000000001</v>
      </c>
      <c r="AA170">
        <v>139.6</v>
      </c>
      <c r="AB170">
        <v>126.7</v>
      </c>
      <c r="AC170">
        <v>130.30000000000001</v>
      </c>
      <c r="AD170">
        <v>137.6</v>
      </c>
    </row>
    <row r="171" spans="1:30" x14ac:dyDescent="0.25">
      <c r="A171" t="s">
        <v>33</v>
      </c>
      <c r="B171">
        <v>2017</v>
      </c>
      <c r="C171" t="s">
        <v>42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>
        <v>133.30000000000001</v>
      </c>
      <c r="S171">
        <v>124.6</v>
      </c>
      <c r="T171">
        <v>132</v>
      </c>
      <c r="U171">
        <v>135.69999999999999</v>
      </c>
      <c r="V171">
        <v>120.6</v>
      </c>
      <c r="W171">
        <v>128.1</v>
      </c>
      <c r="X171">
        <v>126.1</v>
      </c>
      <c r="Y171">
        <v>115.7</v>
      </c>
      <c r="Z171">
        <v>124.5</v>
      </c>
      <c r="AA171">
        <v>135.9</v>
      </c>
      <c r="AB171">
        <v>124.4</v>
      </c>
      <c r="AC171">
        <v>124.5</v>
      </c>
      <c r="AD171">
        <v>132.4</v>
      </c>
    </row>
    <row r="172" spans="1:30" x14ac:dyDescent="0.25">
      <c r="A172" t="s">
        <v>34</v>
      </c>
      <c r="B172">
        <v>2017</v>
      </c>
      <c r="C172" t="s">
        <v>42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>
        <v>141.1</v>
      </c>
      <c r="S172">
        <v>133.4</v>
      </c>
      <c r="T172">
        <v>140</v>
      </c>
      <c r="U172">
        <v>135.69999999999999</v>
      </c>
      <c r="V172">
        <v>131</v>
      </c>
      <c r="W172">
        <v>133.30000000000001</v>
      </c>
      <c r="X172">
        <v>130.6</v>
      </c>
      <c r="Y172">
        <v>118.3</v>
      </c>
      <c r="Z172">
        <v>127.9</v>
      </c>
      <c r="AA172">
        <v>137.4</v>
      </c>
      <c r="AB172">
        <v>125.7</v>
      </c>
      <c r="AC172">
        <v>127.5</v>
      </c>
      <c r="AD172">
        <v>135.19999999999999</v>
      </c>
    </row>
    <row r="173" spans="1:30" x14ac:dyDescent="0.25">
      <c r="A173" t="s">
        <v>30</v>
      </c>
      <c r="B173">
        <v>2017</v>
      </c>
      <c r="C173" t="s">
        <v>43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>
        <v>147.19999999999999</v>
      </c>
      <c r="S173">
        <v>140.6</v>
      </c>
      <c r="T173">
        <v>146.19999999999999</v>
      </c>
      <c r="U173" t="s">
        <v>32</v>
      </c>
      <c r="V173">
        <v>138.1</v>
      </c>
      <c r="W173">
        <v>138.4</v>
      </c>
      <c r="X173">
        <v>134.19999999999999</v>
      </c>
      <c r="Y173">
        <v>121</v>
      </c>
      <c r="Z173">
        <v>133</v>
      </c>
      <c r="AA173">
        <v>140.1</v>
      </c>
      <c r="AB173">
        <v>127.4</v>
      </c>
      <c r="AC173">
        <v>130.69999999999999</v>
      </c>
      <c r="AD173">
        <v>138.30000000000001</v>
      </c>
    </row>
    <row r="174" spans="1:30" x14ac:dyDescent="0.25">
      <c r="A174" t="s">
        <v>33</v>
      </c>
      <c r="B174">
        <v>2017</v>
      </c>
      <c r="C174" t="s">
        <v>43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>
        <v>134</v>
      </c>
      <c r="S174">
        <v>124.9</v>
      </c>
      <c r="T174">
        <v>132.6</v>
      </c>
      <c r="U174">
        <v>137.30000000000001</v>
      </c>
      <c r="V174">
        <v>122.6</v>
      </c>
      <c r="W174">
        <v>128.30000000000001</v>
      </c>
      <c r="X174">
        <v>126.6</v>
      </c>
      <c r="Y174">
        <v>115</v>
      </c>
      <c r="Z174">
        <v>124.8</v>
      </c>
      <c r="AA174">
        <v>136.30000000000001</v>
      </c>
      <c r="AB174">
        <v>124.6</v>
      </c>
      <c r="AC174">
        <v>124.5</v>
      </c>
      <c r="AD174">
        <v>133.5</v>
      </c>
    </row>
    <row r="175" spans="1:30" x14ac:dyDescent="0.25">
      <c r="A175" t="s">
        <v>34</v>
      </c>
      <c r="B175">
        <v>2017</v>
      </c>
      <c r="C175" t="s">
        <v>43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>
        <v>142</v>
      </c>
      <c r="S175">
        <v>134.1</v>
      </c>
      <c r="T175">
        <v>140.80000000000001</v>
      </c>
      <c r="U175">
        <v>137.30000000000001</v>
      </c>
      <c r="V175">
        <v>132.19999999999999</v>
      </c>
      <c r="W175">
        <v>133.6</v>
      </c>
      <c r="X175">
        <v>131.30000000000001</v>
      </c>
      <c r="Y175">
        <v>117.8</v>
      </c>
      <c r="Z175">
        <v>128.4</v>
      </c>
      <c r="AA175">
        <v>137.9</v>
      </c>
      <c r="AB175">
        <v>126.2</v>
      </c>
      <c r="AC175">
        <v>127.7</v>
      </c>
      <c r="AD175">
        <v>136.1</v>
      </c>
    </row>
    <row r="176" spans="1:30" x14ac:dyDescent="0.25">
      <c r="A176" t="s">
        <v>30</v>
      </c>
      <c r="B176">
        <v>2017</v>
      </c>
      <c r="C176" t="s">
        <v>45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>
        <v>148.19999999999999</v>
      </c>
      <c r="S176">
        <v>141.5</v>
      </c>
      <c r="T176">
        <v>147.30000000000001</v>
      </c>
      <c r="U176" t="s">
        <v>32</v>
      </c>
      <c r="V176">
        <v>141.1</v>
      </c>
      <c r="W176">
        <v>139.4</v>
      </c>
      <c r="X176">
        <v>135.80000000000001</v>
      </c>
      <c r="Y176">
        <v>121.6</v>
      </c>
      <c r="Z176">
        <v>133.69999999999999</v>
      </c>
      <c r="AA176">
        <v>141.5</v>
      </c>
      <c r="AB176">
        <v>128.1</v>
      </c>
      <c r="AC176">
        <v>131.69999999999999</v>
      </c>
      <c r="AD176">
        <v>140</v>
      </c>
    </row>
    <row r="177" spans="1:30" x14ac:dyDescent="0.25">
      <c r="A177" t="s">
        <v>33</v>
      </c>
      <c r="B177">
        <v>2017</v>
      </c>
      <c r="C177" t="s">
        <v>45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>
        <v>135</v>
      </c>
      <c r="S177">
        <v>125.4</v>
      </c>
      <c r="T177">
        <v>133.5</v>
      </c>
      <c r="U177">
        <v>138.6</v>
      </c>
      <c r="V177">
        <v>125.7</v>
      </c>
      <c r="W177">
        <v>128.80000000000001</v>
      </c>
      <c r="X177">
        <v>127.4</v>
      </c>
      <c r="Y177">
        <v>115.3</v>
      </c>
      <c r="Z177">
        <v>125.1</v>
      </c>
      <c r="AA177">
        <v>136.6</v>
      </c>
      <c r="AB177">
        <v>124.9</v>
      </c>
      <c r="AC177">
        <v>124.9</v>
      </c>
      <c r="AD177">
        <v>134.80000000000001</v>
      </c>
    </row>
    <row r="178" spans="1:30" x14ac:dyDescent="0.25">
      <c r="A178" t="s">
        <v>34</v>
      </c>
      <c r="B178">
        <v>2017</v>
      </c>
      <c r="C178" t="s">
        <v>45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>
        <v>143</v>
      </c>
      <c r="S178">
        <v>134.80000000000001</v>
      </c>
      <c r="T178">
        <v>141.80000000000001</v>
      </c>
      <c r="U178">
        <v>138.6</v>
      </c>
      <c r="V178">
        <v>135.30000000000001</v>
      </c>
      <c r="W178">
        <v>134.4</v>
      </c>
      <c r="X178">
        <v>132.6</v>
      </c>
      <c r="Y178">
        <v>118.3</v>
      </c>
      <c r="Z178">
        <v>128.9</v>
      </c>
      <c r="AA178">
        <v>138.6</v>
      </c>
      <c r="AB178">
        <v>126.8</v>
      </c>
      <c r="AC178">
        <v>128.4</v>
      </c>
      <c r="AD178">
        <v>137.6</v>
      </c>
    </row>
    <row r="179" spans="1:30" x14ac:dyDescent="0.25">
      <c r="A179" t="s">
        <v>30</v>
      </c>
      <c r="B179">
        <v>2017</v>
      </c>
      <c r="C179" t="s">
        <v>46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>
        <v>148</v>
      </c>
      <c r="S179">
        <v>141.9</v>
      </c>
      <c r="T179">
        <v>147.19999999999999</v>
      </c>
      <c r="U179" t="s">
        <v>32</v>
      </c>
      <c r="V179">
        <v>142.6</v>
      </c>
      <c r="W179">
        <v>139.5</v>
      </c>
      <c r="X179">
        <v>136.1</v>
      </c>
      <c r="Y179">
        <v>122</v>
      </c>
      <c r="Z179">
        <v>133.4</v>
      </c>
      <c r="AA179">
        <v>141.1</v>
      </c>
      <c r="AB179">
        <v>127.8</v>
      </c>
      <c r="AC179">
        <v>131.9</v>
      </c>
      <c r="AD179">
        <v>139.80000000000001</v>
      </c>
    </row>
    <row r="180" spans="1:30" x14ac:dyDescent="0.25">
      <c r="A180" t="s">
        <v>33</v>
      </c>
      <c r="B180">
        <v>2017</v>
      </c>
      <c r="C180" t="s">
        <v>46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>
        <v>135.6</v>
      </c>
      <c r="S180">
        <v>125.6</v>
      </c>
      <c r="T180">
        <v>134</v>
      </c>
      <c r="U180">
        <v>139.1</v>
      </c>
      <c r="V180">
        <v>126.8</v>
      </c>
      <c r="W180">
        <v>129.30000000000001</v>
      </c>
      <c r="X180">
        <v>128.19999999999999</v>
      </c>
      <c r="Y180">
        <v>115.3</v>
      </c>
      <c r="Z180">
        <v>125.6</v>
      </c>
      <c r="AA180">
        <v>136.69999999999999</v>
      </c>
      <c r="AB180">
        <v>124.6</v>
      </c>
      <c r="AC180">
        <v>125.1</v>
      </c>
      <c r="AD180">
        <v>134.1</v>
      </c>
    </row>
    <row r="181" spans="1:30" x14ac:dyDescent="0.25">
      <c r="A181" t="s">
        <v>34</v>
      </c>
      <c r="B181">
        <v>2017</v>
      </c>
      <c r="C181" t="s">
        <v>46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>
        <v>143.1</v>
      </c>
      <c r="S181">
        <v>135.1</v>
      </c>
      <c r="T181">
        <v>142</v>
      </c>
      <c r="U181">
        <v>139.1</v>
      </c>
      <c r="V181">
        <v>136.6</v>
      </c>
      <c r="W181">
        <v>134.69999999999999</v>
      </c>
      <c r="X181">
        <v>133.1</v>
      </c>
      <c r="Y181">
        <v>118.5</v>
      </c>
      <c r="Z181">
        <v>129</v>
      </c>
      <c r="AA181">
        <v>138.5</v>
      </c>
      <c r="AB181">
        <v>126.5</v>
      </c>
      <c r="AC181">
        <v>128.6</v>
      </c>
      <c r="AD181">
        <v>137.19999999999999</v>
      </c>
    </row>
    <row r="182" spans="1:30" x14ac:dyDescent="0.25">
      <c r="A182" t="s">
        <v>30</v>
      </c>
      <c r="B182">
        <v>2018</v>
      </c>
      <c r="C182" t="s">
        <v>31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>
        <v>148.30000000000001</v>
      </c>
      <c r="S182">
        <v>142.30000000000001</v>
      </c>
      <c r="T182">
        <v>147.5</v>
      </c>
      <c r="U182" t="s">
        <v>32</v>
      </c>
      <c r="V182">
        <v>142.30000000000001</v>
      </c>
      <c r="W182">
        <v>139.80000000000001</v>
      </c>
      <c r="X182">
        <v>136</v>
      </c>
      <c r="Y182">
        <v>122.7</v>
      </c>
      <c r="Z182">
        <v>134.30000000000001</v>
      </c>
      <c r="AA182">
        <v>141.6</v>
      </c>
      <c r="AB182">
        <v>128.6</v>
      </c>
      <c r="AC182">
        <v>132.30000000000001</v>
      </c>
      <c r="AD182">
        <v>139.30000000000001</v>
      </c>
    </row>
    <row r="183" spans="1:30" x14ac:dyDescent="0.25">
      <c r="A183" t="s">
        <v>33</v>
      </c>
      <c r="B183">
        <v>2018</v>
      </c>
      <c r="C183" t="s">
        <v>31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>
        <v>136</v>
      </c>
      <c r="S183">
        <v>125.9</v>
      </c>
      <c r="T183">
        <v>134.4</v>
      </c>
      <c r="U183">
        <v>140.4</v>
      </c>
      <c r="V183">
        <v>127.3</v>
      </c>
      <c r="W183">
        <v>129.5</v>
      </c>
      <c r="X183">
        <v>129</v>
      </c>
      <c r="Y183">
        <v>116.3</v>
      </c>
      <c r="Z183">
        <v>126.2</v>
      </c>
      <c r="AA183">
        <v>137.1</v>
      </c>
      <c r="AB183">
        <v>125.5</v>
      </c>
      <c r="AC183">
        <v>125.8</v>
      </c>
      <c r="AD183">
        <v>134.1</v>
      </c>
    </row>
    <row r="184" spans="1:30" x14ac:dyDescent="0.25">
      <c r="A184" t="s">
        <v>34</v>
      </c>
      <c r="B184">
        <v>2018</v>
      </c>
      <c r="C184" t="s">
        <v>31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>
        <v>143.5</v>
      </c>
      <c r="S184">
        <v>135.5</v>
      </c>
      <c r="T184">
        <v>142.30000000000001</v>
      </c>
      <c r="U184">
        <v>140.4</v>
      </c>
      <c r="V184">
        <v>136.6</v>
      </c>
      <c r="W184">
        <v>134.9</v>
      </c>
      <c r="X184">
        <v>133.30000000000001</v>
      </c>
      <c r="Y184">
        <v>119.3</v>
      </c>
      <c r="Z184">
        <v>129.69999999999999</v>
      </c>
      <c r="AA184">
        <v>139</v>
      </c>
      <c r="AB184">
        <v>127.3</v>
      </c>
      <c r="AC184">
        <v>129.1</v>
      </c>
      <c r="AD184">
        <v>136.9</v>
      </c>
    </row>
    <row r="185" spans="1:30" x14ac:dyDescent="0.25">
      <c r="A185" t="s">
        <v>30</v>
      </c>
      <c r="B185">
        <v>2018</v>
      </c>
      <c r="C185" t="s">
        <v>35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>
        <v>148.69999999999999</v>
      </c>
      <c r="S185">
        <v>142.4</v>
      </c>
      <c r="T185">
        <v>147.80000000000001</v>
      </c>
      <c r="U185" t="s">
        <v>32</v>
      </c>
      <c r="V185">
        <v>142.4</v>
      </c>
      <c r="W185">
        <v>139.9</v>
      </c>
      <c r="X185">
        <v>136.19999999999999</v>
      </c>
      <c r="Y185">
        <v>123.3</v>
      </c>
      <c r="Z185">
        <v>134.30000000000001</v>
      </c>
      <c r="AA185">
        <v>141.5</v>
      </c>
      <c r="AB185">
        <v>128.80000000000001</v>
      </c>
      <c r="AC185">
        <v>132.5</v>
      </c>
      <c r="AD185">
        <v>138.5</v>
      </c>
    </row>
    <row r="186" spans="1:30" x14ac:dyDescent="0.25">
      <c r="A186" t="s">
        <v>33</v>
      </c>
      <c r="B186">
        <v>2018</v>
      </c>
      <c r="C186" t="s">
        <v>35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>
        <v>136.30000000000001</v>
      </c>
      <c r="S186">
        <v>126.1</v>
      </c>
      <c r="T186">
        <v>134.69999999999999</v>
      </c>
      <c r="U186">
        <v>141.30000000000001</v>
      </c>
      <c r="V186">
        <v>127.3</v>
      </c>
      <c r="W186">
        <v>129.9</v>
      </c>
      <c r="X186">
        <v>129.80000000000001</v>
      </c>
      <c r="Y186">
        <v>117.4</v>
      </c>
      <c r="Z186">
        <v>126.5</v>
      </c>
      <c r="AA186">
        <v>137.19999999999999</v>
      </c>
      <c r="AB186">
        <v>126.2</v>
      </c>
      <c r="AC186">
        <v>126.5</v>
      </c>
      <c r="AD186">
        <v>134</v>
      </c>
    </row>
    <row r="187" spans="1:30" x14ac:dyDescent="0.25">
      <c r="A187" t="s">
        <v>34</v>
      </c>
      <c r="B187">
        <v>2018</v>
      </c>
      <c r="C187" t="s">
        <v>35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>
        <v>143.80000000000001</v>
      </c>
      <c r="S187">
        <v>135.6</v>
      </c>
      <c r="T187">
        <v>142.6</v>
      </c>
      <c r="U187">
        <v>141.30000000000001</v>
      </c>
      <c r="V187">
        <v>136.69999999999999</v>
      </c>
      <c r="W187">
        <v>135.19999999999999</v>
      </c>
      <c r="X187">
        <v>133.80000000000001</v>
      </c>
      <c r="Y187">
        <v>120.2</v>
      </c>
      <c r="Z187">
        <v>129.9</v>
      </c>
      <c r="AA187">
        <v>139</v>
      </c>
      <c r="AB187">
        <v>127.7</v>
      </c>
      <c r="AC187">
        <v>129.6</v>
      </c>
      <c r="AD187">
        <v>136.4</v>
      </c>
    </row>
    <row r="188" spans="1:30" x14ac:dyDescent="0.25">
      <c r="A188" t="s">
        <v>30</v>
      </c>
      <c r="B188">
        <v>2018</v>
      </c>
      <c r="C188" t="s">
        <v>36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>
        <v>149.19999999999999</v>
      </c>
      <c r="S188">
        <v>143</v>
      </c>
      <c r="T188">
        <v>148.30000000000001</v>
      </c>
      <c r="U188" t="s">
        <v>32</v>
      </c>
      <c r="V188">
        <v>142.6</v>
      </c>
      <c r="W188">
        <v>139.9</v>
      </c>
      <c r="X188">
        <v>136.69999999999999</v>
      </c>
      <c r="Y188">
        <v>124.6</v>
      </c>
      <c r="Z188">
        <v>135.1</v>
      </c>
      <c r="AA188">
        <v>142.69999999999999</v>
      </c>
      <c r="AB188">
        <v>129.30000000000001</v>
      </c>
      <c r="AC188">
        <v>133.30000000000001</v>
      </c>
      <c r="AD188">
        <v>138.69999999999999</v>
      </c>
    </row>
    <row r="189" spans="1:30" x14ac:dyDescent="0.25">
      <c r="A189" t="s">
        <v>33</v>
      </c>
      <c r="B189">
        <v>2018</v>
      </c>
      <c r="C189" t="s">
        <v>36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>
        <v>136.69999999999999</v>
      </c>
      <c r="S189">
        <v>126.7</v>
      </c>
      <c r="T189">
        <v>135.19999999999999</v>
      </c>
      <c r="U189">
        <v>142</v>
      </c>
      <c r="V189">
        <v>126.4</v>
      </c>
      <c r="W189">
        <v>130.80000000000001</v>
      </c>
      <c r="X189">
        <v>130.5</v>
      </c>
      <c r="Y189">
        <v>117.8</v>
      </c>
      <c r="Z189">
        <v>126.8</v>
      </c>
      <c r="AA189">
        <v>137.80000000000001</v>
      </c>
      <c r="AB189">
        <v>126.7</v>
      </c>
      <c r="AC189">
        <v>127.1</v>
      </c>
      <c r="AD189">
        <v>134</v>
      </c>
    </row>
    <row r="190" spans="1:30" x14ac:dyDescent="0.25">
      <c r="A190" t="s">
        <v>34</v>
      </c>
      <c r="B190">
        <v>2018</v>
      </c>
      <c r="C190" t="s">
        <v>36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>
        <v>144.30000000000001</v>
      </c>
      <c r="S190">
        <v>136.19999999999999</v>
      </c>
      <c r="T190">
        <v>143.1</v>
      </c>
      <c r="U190">
        <v>142</v>
      </c>
      <c r="V190">
        <v>136.5</v>
      </c>
      <c r="W190">
        <v>135.6</v>
      </c>
      <c r="X190">
        <v>134.30000000000001</v>
      </c>
      <c r="Y190">
        <v>121</v>
      </c>
      <c r="Z190">
        <v>130.4</v>
      </c>
      <c r="AA190">
        <v>139.80000000000001</v>
      </c>
      <c r="AB190">
        <v>128.19999999999999</v>
      </c>
      <c r="AC190">
        <v>130.30000000000001</v>
      </c>
      <c r="AD190">
        <v>136.5</v>
      </c>
    </row>
    <row r="191" spans="1:30" x14ac:dyDescent="0.25">
      <c r="A191" t="s">
        <v>30</v>
      </c>
      <c r="B191">
        <v>2018</v>
      </c>
      <c r="C191" t="s">
        <v>37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>
        <v>150.1</v>
      </c>
      <c r="S191">
        <v>143.30000000000001</v>
      </c>
      <c r="T191">
        <v>149.1</v>
      </c>
      <c r="U191" t="s">
        <v>32</v>
      </c>
      <c r="V191">
        <v>143.80000000000001</v>
      </c>
      <c r="W191">
        <v>140.9</v>
      </c>
      <c r="X191">
        <v>137.6</v>
      </c>
      <c r="Y191">
        <v>125.3</v>
      </c>
      <c r="Z191">
        <v>136</v>
      </c>
      <c r="AA191">
        <v>143.69999999999999</v>
      </c>
      <c r="AB191">
        <v>130.4</v>
      </c>
      <c r="AC191">
        <v>134.19999999999999</v>
      </c>
      <c r="AD191">
        <v>139.1</v>
      </c>
    </row>
    <row r="192" spans="1:30" x14ac:dyDescent="0.25">
      <c r="A192" t="s">
        <v>33</v>
      </c>
      <c r="B192">
        <v>2018</v>
      </c>
      <c r="C192" t="s">
        <v>37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>
        <v>137.80000000000001</v>
      </c>
      <c r="S192">
        <v>127.4</v>
      </c>
      <c r="T192">
        <v>136.19999999999999</v>
      </c>
      <c r="U192">
        <v>142.9</v>
      </c>
      <c r="V192">
        <v>124.6</v>
      </c>
      <c r="W192">
        <v>131.80000000000001</v>
      </c>
      <c r="X192">
        <v>131.30000000000001</v>
      </c>
      <c r="Y192">
        <v>118.9</v>
      </c>
      <c r="Z192">
        <v>127.6</v>
      </c>
      <c r="AA192">
        <v>139.69999999999999</v>
      </c>
      <c r="AB192">
        <v>127.6</v>
      </c>
      <c r="AC192">
        <v>128.19999999999999</v>
      </c>
      <c r="AD192">
        <v>134.80000000000001</v>
      </c>
    </row>
    <row r="193" spans="1:30" x14ac:dyDescent="0.25">
      <c r="A193" t="s">
        <v>34</v>
      </c>
      <c r="B193">
        <v>2018</v>
      </c>
      <c r="C193" t="s">
        <v>37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>
        <v>145.30000000000001</v>
      </c>
      <c r="S193">
        <v>136.69999999999999</v>
      </c>
      <c r="T193">
        <v>144</v>
      </c>
      <c r="U193">
        <v>142.9</v>
      </c>
      <c r="V193">
        <v>136.5</v>
      </c>
      <c r="W193">
        <v>136.6</v>
      </c>
      <c r="X193">
        <v>135.19999999999999</v>
      </c>
      <c r="Y193">
        <v>121.9</v>
      </c>
      <c r="Z193">
        <v>131.30000000000001</v>
      </c>
      <c r="AA193">
        <v>141.4</v>
      </c>
      <c r="AB193">
        <v>129.19999999999999</v>
      </c>
      <c r="AC193">
        <v>131.30000000000001</v>
      </c>
      <c r="AD193">
        <v>137.1</v>
      </c>
    </row>
    <row r="194" spans="1:30" x14ac:dyDescent="0.25">
      <c r="A194" t="s">
        <v>30</v>
      </c>
      <c r="B194">
        <v>2018</v>
      </c>
      <c r="C194" t="s">
        <v>38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>
        <v>150.80000000000001</v>
      </c>
      <c r="S194">
        <v>144.1</v>
      </c>
      <c r="T194">
        <v>149.80000000000001</v>
      </c>
      <c r="U194" t="s">
        <v>32</v>
      </c>
      <c r="V194">
        <v>144.30000000000001</v>
      </c>
      <c r="W194">
        <v>141.80000000000001</v>
      </c>
      <c r="X194">
        <v>138.4</v>
      </c>
      <c r="Y194">
        <v>126.4</v>
      </c>
      <c r="Z194">
        <v>136.80000000000001</v>
      </c>
      <c r="AA194">
        <v>144.4</v>
      </c>
      <c r="AB194">
        <v>131.19999999999999</v>
      </c>
      <c r="AC194">
        <v>135.1</v>
      </c>
      <c r="AD194">
        <v>139.80000000000001</v>
      </c>
    </row>
    <row r="195" spans="1:30" x14ac:dyDescent="0.25">
      <c r="A195" t="s">
        <v>33</v>
      </c>
      <c r="B195">
        <v>2018</v>
      </c>
      <c r="C195" t="s">
        <v>38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>
        <v>138.6</v>
      </c>
      <c r="S195">
        <v>127.9</v>
      </c>
      <c r="T195">
        <v>137</v>
      </c>
      <c r="U195">
        <v>143.19999999999999</v>
      </c>
      <c r="V195">
        <v>124.7</v>
      </c>
      <c r="W195">
        <v>132.5</v>
      </c>
      <c r="X195">
        <v>132</v>
      </c>
      <c r="Y195">
        <v>119.8</v>
      </c>
      <c r="Z195">
        <v>128</v>
      </c>
      <c r="AA195">
        <v>140.4</v>
      </c>
      <c r="AB195">
        <v>128.1</v>
      </c>
      <c r="AC195">
        <v>128.9</v>
      </c>
      <c r="AD195">
        <v>135.4</v>
      </c>
    </row>
    <row r="196" spans="1:30" x14ac:dyDescent="0.25">
      <c r="A196" t="s">
        <v>34</v>
      </c>
      <c r="B196">
        <v>2018</v>
      </c>
      <c r="C196" t="s">
        <v>38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>
        <v>146</v>
      </c>
      <c r="S196">
        <v>137.4</v>
      </c>
      <c r="T196">
        <v>144.69999999999999</v>
      </c>
      <c r="U196">
        <v>143.19999999999999</v>
      </c>
      <c r="V196">
        <v>136.9</v>
      </c>
      <c r="W196">
        <v>137.4</v>
      </c>
      <c r="X196">
        <v>136</v>
      </c>
      <c r="Y196">
        <v>122.9</v>
      </c>
      <c r="Z196">
        <v>131.80000000000001</v>
      </c>
      <c r="AA196">
        <v>142.1</v>
      </c>
      <c r="AB196">
        <v>129.9</v>
      </c>
      <c r="AC196">
        <v>132.1</v>
      </c>
      <c r="AD196">
        <v>137.80000000000001</v>
      </c>
    </row>
    <row r="197" spans="1:30" x14ac:dyDescent="0.25">
      <c r="A197" t="s">
        <v>30</v>
      </c>
      <c r="B197">
        <v>2018</v>
      </c>
      <c r="C197" t="s">
        <v>39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>
        <v>151.30000000000001</v>
      </c>
      <c r="S197">
        <v>144.69999999999999</v>
      </c>
      <c r="T197">
        <v>150.30000000000001</v>
      </c>
      <c r="U197" t="s">
        <v>32</v>
      </c>
      <c r="V197">
        <v>145.1</v>
      </c>
      <c r="W197">
        <v>142.19999999999999</v>
      </c>
      <c r="X197">
        <v>138.4</v>
      </c>
      <c r="Y197">
        <v>127.4</v>
      </c>
      <c r="Z197">
        <v>137.80000000000001</v>
      </c>
      <c r="AA197">
        <v>145.1</v>
      </c>
      <c r="AB197">
        <v>131.4</v>
      </c>
      <c r="AC197">
        <v>135.6</v>
      </c>
      <c r="AD197">
        <v>140.5</v>
      </c>
    </row>
    <row r="198" spans="1:30" x14ac:dyDescent="0.25">
      <c r="A198" t="s">
        <v>33</v>
      </c>
      <c r="B198">
        <v>2018</v>
      </c>
      <c r="C198" t="s">
        <v>39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>
        <v>138.9</v>
      </c>
      <c r="S198">
        <v>128.69999999999999</v>
      </c>
      <c r="T198">
        <v>137.4</v>
      </c>
      <c r="U198">
        <v>142.5</v>
      </c>
      <c r="V198">
        <v>126.5</v>
      </c>
      <c r="W198">
        <v>133.1</v>
      </c>
      <c r="X198">
        <v>132.6</v>
      </c>
      <c r="Y198">
        <v>120.4</v>
      </c>
      <c r="Z198">
        <v>128.5</v>
      </c>
      <c r="AA198">
        <v>141.19999999999999</v>
      </c>
      <c r="AB198">
        <v>128.19999999999999</v>
      </c>
      <c r="AC198">
        <v>129.5</v>
      </c>
      <c r="AD198">
        <v>136.19999999999999</v>
      </c>
    </row>
    <row r="199" spans="1:30" x14ac:dyDescent="0.25">
      <c r="A199" t="s">
        <v>34</v>
      </c>
      <c r="B199">
        <v>2018</v>
      </c>
      <c r="C199" t="s">
        <v>39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>
        <v>146.4</v>
      </c>
      <c r="S199">
        <v>138.1</v>
      </c>
      <c r="T199">
        <v>145.19999999999999</v>
      </c>
      <c r="U199">
        <v>142.5</v>
      </c>
      <c r="V199">
        <v>138.1</v>
      </c>
      <c r="W199">
        <v>137.9</v>
      </c>
      <c r="X199">
        <v>136.19999999999999</v>
      </c>
      <c r="Y199">
        <v>123.7</v>
      </c>
      <c r="Z199">
        <v>132.6</v>
      </c>
      <c r="AA199">
        <v>142.80000000000001</v>
      </c>
      <c r="AB199">
        <v>130.1</v>
      </c>
      <c r="AC199">
        <v>132.6</v>
      </c>
      <c r="AD199">
        <v>138.5</v>
      </c>
    </row>
    <row r="200" spans="1:30" x14ac:dyDescent="0.25">
      <c r="A200" t="s">
        <v>30</v>
      </c>
      <c r="B200">
        <v>2018</v>
      </c>
      <c r="C200" t="s">
        <v>40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>
        <v>151.5</v>
      </c>
      <c r="S200">
        <v>145.1</v>
      </c>
      <c r="T200">
        <v>150.6</v>
      </c>
      <c r="U200" t="s">
        <v>32</v>
      </c>
      <c r="V200">
        <v>146.80000000000001</v>
      </c>
      <c r="W200">
        <v>143.1</v>
      </c>
      <c r="X200">
        <v>139</v>
      </c>
      <c r="Y200">
        <v>127.5</v>
      </c>
      <c r="Z200">
        <v>138.4</v>
      </c>
      <c r="AA200">
        <v>145.80000000000001</v>
      </c>
      <c r="AB200">
        <v>131.4</v>
      </c>
      <c r="AC200">
        <v>136</v>
      </c>
      <c r="AD200">
        <v>141.80000000000001</v>
      </c>
    </row>
    <row r="201" spans="1:30" x14ac:dyDescent="0.25">
      <c r="A201" t="s">
        <v>33</v>
      </c>
      <c r="B201">
        <v>2018</v>
      </c>
      <c r="C201" t="s">
        <v>40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>
        <v>139.6</v>
      </c>
      <c r="S201">
        <v>128.9</v>
      </c>
      <c r="T201">
        <v>137.9</v>
      </c>
      <c r="U201">
        <v>143.6</v>
      </c>
      <c r="V201">
        <v>128.1</v>
      </c>
      <c r="W201">
        <v>133.6</v>
      </c>
      <c r="X201">
        <v>133.6</v>
      </c>
      <c r="Y201">
        <v>120.1</v>
      </c>
      <c r="Z201">
        <v>129</v>
      </c>
      <c r="AA201">
        <v>144</v>
      </c>
      <c r="AB201">
        <v>128.19999999999999</v>
      </c>
      <c r="AC201">
        <v>130.19999999999999</v>
      </c>
      <c r="AD201">
        <v>137.5</v>
      </c>
    </row>
    <row r="202" spans="1:30" x14ac:dyDescent="0.25">
      <c r="A202" t="s">
        <v>34</v>
      </c>
      <c r="B202">
        <v>2018</v>
      </c>
      <c r="C202" t="s">
        <v>40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>
        <v>146.80000000000001</v>
      </c>
      <c r="S202">
        <v>138.4</v>
      </c>
      <c r="T202">
        <v>145.6</v>
      </c>
      <c r="U202">
        <v>143.6</v>
      </c>
      <c r="V202">
        <v>139.69999999999999</v>
      </c>
      <c r="W202">
        <v>138.6</v>
      </c>
      <c r="X202">
        <v>137</v>
      </c>
      <c r="Y202">
        <v>123.6</v>
      </c>
      <c r="Z202">
        <v>133.1</v>
      </c>
      <c r="AA202">
        <v>144.69999999999999</v>
      </c>
      <c r="AB202">
        <v>130.1</v>
      </c>
      <c r="AC202">
        <v>133.19999999999999</v>
      </c>
      <c r="AD202">
        <v>139.80000000000001</v>
      </c>
    </row>
    <row r="203" spans="1:30" x14ac:dyDescent="0.25">
      <c r="A203" t="s">
        <v>30</v>
      </c>
      <c r="B203">
        <v>2018</v>
      </c>
      <c r="C203" t="s">
        <v>41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>
        <v>152.1</v>
      </c>
      <c r="S203">
        <v>145.80000000000001</v>
      </c>
      <c r="T203">
        <v>151.30000000000001</v>
      </c>
      <c r="U203" t="s">
        <v>32</v>
      </c>
      <c r="V203">
        <v>147.69999999999999</v>
      </c>
      <c r="W203">
        <v>143.80000000000001</v>
      </c>
      <c r="X203">
        <v>139.4</v>
      </c>
      <c r="Y203">
        <v>128.30000000000001</v>
      </c>
      <c r="Z203">
        <v>138.6</v>
      </c>
      <c r="AA203">
        <v>146.9</v>
      </c>
      <c r="AB203">
        <v>131.30000000000001</v>
      </c>
      <c r="AC203">
        <v>136.6</v>
      </c>
      <c r="AD203">
        <v>142.5</v>
      </c>
    </row>
    <row r="204" spans="1:30" x14ac:dyDescent="0.25">
      <c r="A204" t="s">
        <v>33</v>
      </c>
      <c r="B204">
        <v>2018</v>
      </c>
      <c r="C204" t="s">
        <v>41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>
        <v>140</v>
      </c>
      <c r="S204">
        <v>129</v>
      </c>
      <c r="T204">
        <v>138.30000000000001</v>
      </c>
      <c r="U204">
        <v>144.6</v>
      </c>
      <c r="V204">
        <v>129.80000000000001</v>
      </c>
      <c r="W204">
        <v>134.4</v>
      </c>
      <c r="X204">
        <v>134.9</v>
      </c>
      <c r="Y204">
        <v>120.7</v>
      </c>
      <c r="Z204">
        <v>129.80000000000001</v>
      </c>
      <c r="AA204">
        <v>145.30000000000001</v>
      </c>
      <c r="AB204">
        <v>128.30000000000001</v>
      </c>
      <c r="AC204">
        <v>131</v>
      </c>
      <c r="AD204">
        <v>138</v>
      </c>
    </row>
    <row r="205" spans="1:30" x14ac:dyDescent="0.25">
      <c r="A205" t="s">
        <v>34</v>
      </c>
      <c r="B205">
        <v>2018</v>
      </c>
      <c r="C205" t="s">
        <v>41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>
        <v>147.30000000000001</v>
      </c>
      <c r="S205">
        <v>138.80000000000001</v>
      </c>
      <c r="T205">
        <v>146.1</v>
      </c>
      <c r="U205">
        <v>144.6</v>
      </c>
      <c r="V205">
        <v>140.9</v>
      </c>
      <c r="W205">
        <v>139.4</v>
      </c>
      <c r="X205">
        <v>137.69999999999999</v>
      </c>
      <c r="Y205">
        <v>124.3</v>
      </c>
      <c r="Z205">
        <v>133.6</v>
      </c>
      <c r="AA205">
        <v>146</v>
      </c>
      <c r="AB205">
        <v>130.1</v>
      </c>
      <c r="AC205">
        <v>133.9</v>
      </c>
      <c r="AD205">
        <v>140.4</v>
      </c>
    </row>
    <row r="206" spans="1:30" x14ac:dyDescent="0.25">
      <c r="A206" t="s">
        <v>30</v>
      </c>
      <c r="B206">
        <v>2018</v>
      </c>
      <c r="C206" t="s">
        <v>42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>
        <v>152.1</v>
      </c>
      <c r="S206">
        <v>146.1</v>
      </c>
      <c r="T206">
        <v>151.30000000000001</v>
      </c>
      <c r="U206" t="s">
        <v>32</v>
      </c>
      <c r="V206">
        <v>149</v>
      </c>
      <c r="W206">
        <v>144</v>
      </c>
      <c r="X206">
        <v>140</v>
      </c>
      <c r="Y206">
        <v>129.9</v>
      </c>
      <c r="Z206">
        <v>140</v>
      </c>
      <c r="AA206">
        <v>147.6</v>
      </c>
      <c r="AB206">
        <v>132</v>
      </c>
      <c r="AC206">
        <v>137.4</v>
      </c>
      <c r="AD206">
        <v>142.1</v>
      </c>
    </row>
    <row r="207" spans="1:30" x14ac:dyDescent="0.25">
      <c r="A207" t="s">
        <v>33</v>
      </c>
      <c r="B207">
        <v>2018</v>
      </c>
      <c r="C207" t="s">
        <v>42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>
        <v>140.80000000000001</v>
      </c>
      <c r="S207">
        <v>129.30000000000001</v>
      </c>
      <c r="T207">
        <v>139.1</v>
      </c>
      <c r="U207">
        <v>145.30000000000001</v>
      </c>
      <c r="V207">
        <v>131.19999999999999</v>
      </c>
      <c r="W207">
        <v>134.9</v>
      </c>
      <c r="X207">
        <v>135.69999999999999</v>
      </c>
      <c r="Y207">
        <v>122.5</v>
      </c>
      <c r="Z207">
        <v>130.19999999999999</v>
      </c>
      <c r="AA207">
        <v>145.19999999999999</v>
      </c>
      <c r="AB207">
        <v>129.30000000000001</v>
      </c>
      <c r="AC207">
        <v>131.9</v>
      </c>
      <c r="AD207">
        <v>138.1</v>
      </c>
    </row>
    <row r="208" spans="1:30" x14ac:dyDescent="0.25">
      <c r="A208" t="s">
        <v>34</v>
      </c>
      <c r="B208">
        <v>2018</v>
      </c>
      <c r="C208" t="s">
        <v>42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>
        <v>147.69999999999999</v>
      </c>
      <c r="S208">
        <v>139.1</v>
      </c>
      <c r="T208">
        <v>146.5</v>
      </c>
      <c r="U208">
        <v>145.30000000000001</v>
      </c>
      <c r="V208">
        <v>142.30000000000001</v>
      </c>
      <c r="W208">
        <v>139.69999999999999</v>
      </c>
      <c r="X208">
        <v>138.4</v>
      </c>
      <c r="Y208">
        <v>126</v>
      </c>
      <c r="Z208">
        <v>134.5</v>
      </c>
      <c r="AA208">
        <v>146.19999999999999</v>
      </c>
      <c r="AB208">
        <v>130.9</v>
      </c>
      <c r="AC208">
        <v>134.69999999999999</v>
      </c>
      <c r="AD208">
        <v>140.19999999999999</v>
      </c>
    </row>
    <row r="209" spans="1:30" x14ac:dyDescent="0.25">
      <c r="A209" t="s">
        <v>30</v>
      </c>
      <c r="B209">
        <v>2018</v>
      </c>
      <c r="C209" t="s">
        <v>43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>
        <v>150.69999999999999</v>
      </c>
      <c r="S209">
        <v>144.5</v>
      </c>
      <c r="T209">
        <v>149.80000000000001</v>
      </c>
      <c r="U209" t="s">
        <v>32</v>
      </c>
      <c r="V209">
        <v>149.69999999999999</v>
      </c>
      <c r="W209">
        <v>147.5</v>
      </c>
      <c r="X209">
        <v>144.80000000000001</v>
      </c>
      <c r="Y209">
        <v>130.80000000000001</v>
      </c>
      <c r="Z209">
        <v>140.1</v>
      </c>
      <c r="AA209">
        <v>148</v>
      </c>
      <c r="AB209">
        <v>134.4</v>
      </c>
      <c r="AC209">
        <v>139.80000000000001</v>
      </c>
      <c r="AD209">
        <v>142.19999999999999</v>
      </c>
    </row>
    <row r="210" spans="1:30" x14ac:dyDescent="0.25">
      <c r="A210" t="s">
        <v>33</v>
      </c>
      <c r="B210">
        <v>2018</v>
      </c>
      <c r="C210" t="s">
        <v>43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>
        <v>141.5</v>
      </c>
      <c r="S210">
        <v>129.80000000000001</v>
      </c>
      <c r="T210">
        <v>139.69999999999999</v>
      </c>
      <c r="U210">
        <v>146.30000000000001</v>
      </c>
      <c r="V210">
        <v>133.4</v>
      </c>
      <c r="W210">
        <v>135.1</v>
      </c>
      <c r="X210">
        <v>136.19999999999999</v>
      </c>
      <c r="Y210">
        <v>123.3</v>
      </c>
      <c r="Z210">
        <v>130.69999999999999</v>
      </c>
      <c r="AA210">
        <v>145.5</v>
      </c>
      <c r="AB210">
        <v>130.4</v>
      </c>
      <c r="AC210">
        <v>132.5</v>
      </c>
      <c r="AD210">
        <v>138.9</v>
      </c>
    </row>
    <row r="211" spans="1:30" x14ac:dyDescent="0.25">
      <c r="A211" t="s">
        <v>34</v>
      </c>
      <c r="B211">
        <v>2018</v>
      </c>
      <c r="C211" t="s">
        <v>43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>
        <v>148</v>
      </c>
      <c r="S211">
        <v>139.19999999999999</v>
      </c>
      <c r="T211">
        <v>146.80000000000001</v>
      </c>
      <c r="U211">
        <v>146.9</v>
      </c>
      <c r="V211">
        <v>145.30000000000001</v>
      </c>
      <c r="W211">
        <v>142.19999999999999</v>
      </c>
      <c r="X211">
        <v>142.1</v>
      </c>
      <c r="Y211">
        <v>125.5</v>
      </c>
      <c r="Z211">
        <v>136.5</v>
      </c>
      <c r="AA211">
        <v>147.80000000000001</v>
      </c>
      <c r="AB211">
        <v>132</v>
      </c>
      <c r="AC211">
        <v>136.30000000000001</v>
      </c>
      <c r="AD211">
        <v>140.80000000000001</v>
      </c>
    </row>
    <row r="212" spans="1:30" x14ac:dyDescent="0.25">
      <c r="A212" t="s">
        <v>30</v>
      </c>
      <c r="B212">
        <v>2018</v>
      </c>
      <c r="C212" t="s">
        <v>45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>
        <v>151.69999999999999</v>
      </c>
      <c r="S212">
        <v>145.5</v>
      </c>
      <c r="T212">
        <v>150.80000000000001</v>
      </c>
      <c r="U212" t="s">
        <v>32</v>
      </c>
      <c r="V212">
        <v>150.30000000000001</v>
      </c>
      <c r="W212">
        <v>148</v>
      </c>
      <c r="X212">
        <v>145.4</v>
      </c>
      <c r="Y212">
        <v>130.30000000000001</v>
      </c>
      <c r="Z212">
        <v>143.1</v>
      </c>
      <c r="AA212">
        <v>150.19999999999999</v>
      </c>
      <c r="AB212">
        <v>133.1</v>
      </c>
      <c r="AC212">
        <v>140.1</v>
      </c>
      <c r="AD212">
        <v>142.4</v>
      </c>
    </row>
    <row r="213" spans="1:30" x14ac:dyDescent="0.25">
      <c r="A213" t="s">
        <v>33</v>
      </c>
      <c r="B213">
        <v>2018</v>
      </c>
      <c r="C213" t="s">
        <v>45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>
        <v>142.4</v>
      </c>
      <c r="S213">
        <v>130.19999999999999</v>
      </c>
      <c r="T213">
        <v>140.5</v>
      </c>
      <c r="U213">
        <v>146.9</v>
      </c>
      <c r="V213">
        <v>136.69999999999999</v>
      </c>
      <c r="W213">
        <v>135.80000000000001</v>
      </c>
      <c r="X213">
        <v>136.80000000000001</v>
      </c>
      <c r="Y213">
        <v>121.2</v>
      </c>
      <c r="Z213">
        <v>131.30000000000001</v>
      </c>
      <c r="AA213">
        <v>146.1</v>
      </c>
      <c r="AB213">
        <v>130.5</v>
      </c>
      <c r="AC213">
        <v>132.19999999999999</v>
      </c>
      <c r="AD213">
        <v>139</v>
      </c>
    </row>
    <row r="214" spans="1:30" x14ac:dyDescent="0.25">
      <c r="A214" t="s">
        <v>34</v>
      </c>
      <c r="B214">
        <v>2018</v>
      </c>
      <c r="C214" t="s">
        <v>45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>
        <v>148</v>
      </c>
      <c r="S214">
        <v>139.1</v>
      </c>
      <c r="T214">
        <v>146.69999999999999</v>
      </c>
      <c r="U214">
        <v>146.9</v>
      </c>
      <c r="V214">
        <v>145.1</v>
      </c>
      <c r="W214">
        <v>142.19999999999999</v>
      </c>
      <c r="X214">
        <v>142.1</v>
      </c>
      <c r="Y214">
        <v>125.5</v>
      </c>
      <c r="Z214">
        <v>136.5</v>
      </c>
      <c r="AA214">
        <v>147.80000000000001</v>
      </c>
      <c r="AB214">
        <v>132</v>
      </c>
      <c r="AC214">
        <v>136.30000000000001</v>
      </c>
      <c r="AD214">
        <v>140.80000000000001</v>
      </c>
    </row>
    <row r="215" spans="1:30" x14ac:dyDescent="0.25">
      <c r="A215" t="s">
        <v>30</v>
      </c>
      <c r="B215">
        <v>2018</v>
      </c>
      <c r="C215" t="s">
        <v>46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>
        <v>151.6</v>
      </c>
      <c r="S215">
        <v>145.9</v>
      </c>
      <c r="T215">
        <v>150.80000000000001</v>
      </c>
      <c r="U215" t="s">
        <v>32</v>
      </c>
      <c r="V215">
        <v>149</v>
      </c>
      <c r="W215">
        <v>149.5</v>
      </c>
      <c r="X215">
        <v>149.6</v>
      </c>
      <c r="Y215">
        <v>128.9</v>
      </c>
      <c r="Z215">
        <v>143.30000000000001</v>
      </c>
      <c r="AA215">
        <v>155.1</v>
      </c>
      <c r="AB215">
        <v>133.19999999999999</v>
      </c>
      <c r="AC215">
        <v>141.6</v>
      </c>
      <c r="AD215">
        <v>141.9</v>
      </c>
    </row>
    <row r="216" spans="1:30" x14ac:dyDescent="0.25">
      <c r="A216" t="s">
        <v>33</v>
      </c>
      <c r="B216">
        <v>2018</v>
      </c>
      <c r="C216" t="s">
        <v>46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>
        <v>142.69999999999999</v>
      </c>
      <c r="S216">
        <v>130.30000000000001</v>
      </c>
      <c r="T216">
        <v>140.80000000000001</v>
      </c>
      <c r="U216">
        <v>146.5</v>
      </c>
      <c r="V216">
        <v>132.4</v>
      </c>
      <c r="W216">
        <v>136.19999999999999</v>
      </c>
      <c r="X216">
        <v>137.30000000000001</v>
      </c>
      <c r="Y216">
        <v>118.8</v>
      </c>
      <c r="Z216">
        <v>131.69999999999999</v>
      </c>
      <c r="AA216">
        <v>146.5</v>
      </c>
      <c r="AB216">
        <v>130.80000000000001</v>
      </c>
      <c r="AC216">
        <v>131.69999999999999</v>
      </c>
      <c r="AD216">
        <v>138</v>
      </c>
    </row>
    <row r="217" spans="1:30" x14ac:dyDescent="0.25">
      <c r="A217" t="s">
        <v>34</v>
      </c>
      <c r="B217">
        <v>2018</v>
      </c>
      <c r="C217" t="s">
        <v>46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>
        <v>148.1</v>
      </c>
      <c r="S217">
        <v>139.4</v>
      </c>
      <c r="T217">
        <v>146.80000000000001</v>
      </c>
      <c r="U217">
        <v>146.5</v>
      </c>
      <c r="V217">
        <v>142.69999999999999</v>
      </c>
      <c r="W217">
        <v>143.19999999999999</v>
      </c>
      <c r="X217">
        <v>144.9</v>
      </c>
      <c r="Y217">
        <v>123.6</v>
      </c>
      <c r="Z217">
        <v>136.80000000000001</v>
      </c>
      <c r="AA217">
        <v>150.1</v>
      </c>
      <c r="AB217">
        <v>132.19999999999999</v>
      </c>
      <c r="AC217">
        <v>136.80000000000001</v>
      </c>
      <c r="AD217">
        <v>140.1</v>
      </c>
    </row>
    <row r="218" spans="1:30" x14ac:dyDescent="0.25">
      <c r="A218" t="s">
        <v>30</v>
      </c>
      <c r="B218">
        <v>2019</v>
      </c>
      <c r="C218" t="s">
        <v>31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>
        <v>150.6</v>
      </c>
      <c r="S218">
        <v>145.1</v>
      </c>
      <c r="T218">
        <v>149.9</v>
      </c>
      <c r="U218" t="s">
        <v>32</v>
      </c>
      <c r="V218">
        <v>146.19999999999999</v>
      </c>
      <c r="W218">
        <v>150.1</v>
      </c>
      <c r="X218">
        <v>149.6</v>
      </c>
      <c r="Y218">
        <v>128.6</v>
      </c>
      <c r="Z218">
        <v>142.9</v>
      </c>
      <c r="AA218">
        <v>155.19999999999999</v>
      </c>
      <c r="AB218">
        <v>133.5</v>
      </c>
      <c r="AC218">
        <v>141.69999999999999</v>
      </c>
      <c r="AD218">
        <v>141</v>
      </c>
    </row>
    <row r="219" spans="1:30" x14ac:dyDescent="0.25">
      <c r="A219" t="s">
        <v>33</v>
      </c>
      <c r="B219">
        <v>2019</v>
      </c>
      <c r="C219" t="s">
        <v>31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>
        <v>143</v>
      </c>
      <c r="S219">
        <v>130.4</v>
      </c>
      <c r="T219">
        <v>141.1</v>
      </c>
      <c r="U219">
        <v>147.69999999999999</v>
      </c>
      <c r="V219">
        <v>128.6</v>
      </c>
      <c r="W219">
        <v>136.30000000000001</v>
      </c>
      <c r="X219">
        <v>137.80000000000001</v>
      </c>
      <c r="Y219">
        <v>118.6</v>
      </c>
      <c r="Z219">
        <v>131.9</v>
      </c>
      <c r="AA219">
        <v>146.6</v>
      </c>
      <c r="AB219">
        <v>131.69999999999999</v>
      </c>
      <c r="AC219">
        <v>131.80000000000001</v>
      </c>
      <c r="AD219">
        <v>138</v>
      </c>
    </row>
    <row r="220" spans="1:30" x14ac:dyDescent="0.25">
      <c r="A220" t="s">
        <v>34</v>
      </c>
      <c r="B220">
        <v>2019</v>
      </c>
      <c r="C220" t="s">
        <v>31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>
        <v>147.6</v>
      </c>
      <c r="S220">
        <v>139</v>
      </c>
      <c r="T220">
        <v>146.4</v>
      </c>
      <c r="U220">
        <v>147.69999999999999</v>
      </c>
      <c r="V220">
        <v>139.5</v>
      </c>
      <c r="W220">
        <v>143.6</v>
      </c>
      <c r="X220">
        <v>145.1</v>
      </c>
      <c r="Y220">
        <v>123.3</v>
      </c>
      <c r="Z220">
        <v>136.69999999999999</v>
      </c>
      <c r="AA220">
        <v>150.19999999999999</v>
      </c>
      <c r="AB220">
        <v>132.80000000000001</v>
      </c>
      <c r="AC220">
        <v>136.9</v>
      </c>
      <c r="AD220">
        <v>139.6</v>
      </c>
    </row>
    <row r="221" spans="1:30" x14ac:dyDescent="0.25">
      <c r="A221" t="s">
        <v>30</v>
      </c>
      <c r="B221">
        <v>2019</v>
      </c>
      <c r="C221" t="s">
        <v>35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>
        <v>150.5</v>
      </c>
      <c r="S221">
        <v>146.1</v>
      </c>
      <c r="T221">
        <v>149.9</v>
      </c>
      <c r="U221" t="s">
        <v>32</v>
      </c>
      <c r="V221">
        <v>145.30000000000001</v>
      </c>
      <c r="W221">
        <v>150.1</v>
      </c>
      <c r="X221">
        <v>149.9</v>
      </c>
      <c r="Y221">
        <v>129.19999999999999</v>
      </c>
      <c r="Z221">
        <v>143.4</v>
      </c>
      <c r="AA221">
        <v>155.5</v>
      </c>
      <c r="AB221">
        <v>134.9</v>
      </c>
      <c r="AC221">
        <v>142.19999999999999</v>
      </c>
      <c r="AD221">
        <v>141</v>
      </c>
    </row>
    <row r="222" spans="1:30" x14ac:dyDescent="0.25">
      <c r="A222" t="s">
        <v>33</v>
      </c>
      <c r="B222">
        <v>2019</v>
      </c>
      <c r="C222" t="s">
        <v>35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>
        <v>143.30000000000001</v>
      </c>
      <c r="S222">
        <v>130.80000000000001</v>
      </c>
      <c r="T222">
        <v>141.4</v>
      </c>
      <c r="U222">
        <v>148.5</v>
      </c>
      <c r="V222">
        <v>127.1</v>
      </c>
      <c r="W222">
        <v>136.6</v>
      </c>
      <c r="X222">
        <v>138.5</v>
      </c>
      <c r="Y222">
        <v>119.2</v>
      </c>
      <c r="Z222">
        <v>132.19999999999999</v>
      </c>
      <c r="AA222">
        <v>146.6</v>
      </c>
      <c r="AB222">
        <v>133</v>
      </c>
      <c r="AC222">
        <v>132.4</v>
      </c>
      <c r="AD222">
        <v>138.6</v>
      </c>
    </row>
    <row r="223" spans="1:30" x14ac:dyDescent="0.25">
      <c r="A223" t="s">
        <v>34</v>
      </c>
      <c r="B223">
        <v>2019</v>
      </c>
      <c r="C223" t="s">
        <v>35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>
        <v>147.69999999999999</v>
      </c>
      <c r="S223">
        <v>139.69999999999999</v>
      </c>
      <c r="T223">
        <v>146.5</v>
      </c>
      <c r="U223">
        <v>148.5</v>
      </c>
      <c r="V223">
        <v>138.4</v>
      </c>
      <c r="W223">
        <v>143.69999999999999</v>
      </c>
      <c r="X223">
        <v>145.6</v>
      </c>
      <c r="Y223">
        <v>123.9</v>
      </c>
      <c r="Z223">
        <v>137.1</v>
      </c>
      <c r="AA223">
        <v>150.30000000000001</v>
      </c>
      <c r="AB223">
        <v>134.1</v>
      </c>
      <c r="AC223">
        <v>137.4</v>
      </c>
      <c r="AD223">
        <v>139.9</v>
      </c>
    </row>
    <row r="224" spans="1:30" x14ac:dyDescent="0.25">
      <c r="A224" t="s">
        <v>30</v>
      </c>
      <c r="B224">
        <v>2019</v>
      </c>
      <c r="C224" t="s">
        <v>36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>
        <v>150.80000000000001</v>
      </c>
      <c r="S224">
        <v>146.1</v>
      </c>
      <c r="T224">
        <v>150.1</v>
      </c>
      <c r="U224" t="s">
        <v>32</v>
      </c>
      <c r="V224">
        <v>146.4</v>
      </c>
      <c r="W224">
        <v>150</v>
      </c>
      <c r="X224">
        <v>150.4</v>
      </c>
      <c r="Y224">
        <v>129.9</v>
      </c>
      <c r="Z224">
        <v>143.80000000000001</v>
      </c>
      <c r="AA224">
        <v>155.5</v>
      </c>
      <c r="AB224">
        <v>134</v>
      </c>
      <c r="AC224">
        <v>142.4</v>
      </c>
      <c r="AD224">
        <v>141.19999999999999</v>
      </c>
    </row>
    <row r="225" spans="1:30" x14ac:dyDescent="0.25">
      <c r="A225" t="s">
        <v>33</v>
      </c>
      <c r="B225">
        <v>2019</v>
      </c>
      <c r="C225" t="s">
        <v>36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>
        <v>143.5</v>
      </c>
      <c r="S225">
        <v>131.19999999999999</v>
      </c>
      <c r="T225">
        <v>141.6</v>
      </c>
      <c r="U225">
        <v>149</v>
      </c>
      <c r="V225">
        <v>128.80000000000001</v>
      </c>
      <c r="W225">
        <v>136.80000000000001</v>
      </c>
      <c r="X225">
        <v>139.19999999999999</v>
      </c>
      <c r="Y225">
        <v>119.9</v>
      </c>
      <c r="Z225">
        <v>133</v>
      </c>
      <c r="AA225">
        <v>146.69999999999999</v>
      </c>
      <c r="AB225">
        <v>132.5</v>
      </c>
      <c r="AC225">
        <v>132.80000000000001</v>
      </c>
      <c r="AD225">
        <v>139.5</v>
      </c>
    </row>
    <row r="226" spans="1:30" x14ac:dyDescent="0.25">
      <c r="A226" t="s">
        <v>34</v>
      </c>
      <c r="B226">
        <v>2019</v>
      </c>
      <c r="C226" t="s">
        <v>36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>
        <v>147.9</v>
      </c>
      <c r="S226">
        <v>139.9</v>
      </c>
      <c r="T226">
        <v>146.69999999999999</v>
      </c>
      <c r="U226">
        <v>149</v>
      </c>
      <c r="V226">
        <v>139.69999999999999</v>
      </c>
      <c r="W226">
        <v>143.80000000000001</v>
      </c>
      <c r="X226">
        <v>146.19999999999999</v>
      </c>
      <c r="Y226">
        <v>124.6</v>
      </c>
      <c r="Z226">
        <v>137.69999999999999</v>
      </c>
      <c r="AA226">
        <v>150.30000000000001</v>
      </c>
      <c r="AB226">
        <v>133.4</v>
      </c>
      <c r="AC226">
        <v>137.69999999999999</v>
      </c>
      <c r="AD226">
        <v>140.4</v>
      </c>
    </row>
    <row r="227" spans="1:30" x14ac:dyDescent="0.25">
      <c r="A227" t="s">
        <v>30</v>
      </c>
      <c r="B227">
        <v>2019</v>
      </c>
      <c r="C227" t="s">
        <v>38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>
        <v>151.30000000000001</v>
      </c>
      <c r="S227">
        <v>146.6</v>
      </c>
      <c r="T227">
        <v>150.69999999999999</v>
      </c>
      <c r="U227" t="s">
        <v>32</v>
      </c>
      <c r="V227">
        <v>146.9</v>
      </c>
      <c r="W227">
        <v>149.5</v>
      </c>
      <c r="X227">
        <v>151.30000000000001</v>
      </c>
      <c r="Y227">
        <v>130.19999999999999</v>
      </c>
      <c r="Z227">
        <v>145.9</v>
      </c>
      <c r="AA227">
        <v>156.69999999999999</v>
      </c>
      <c r="AB227">
        <v>133.9</v>
      </c>
      <c r="AC227">
        <v>142.9</v>
      </c>
      <c r="AD227">
        <v>142.4</v>
      </c>
    </row>
    <row r="228" spans="1:30" x14ac:dyDescent="0.25">
      <c r="A228" t="s">
        <v>33</v>
      </c>
      <c r="B228">
        <v>2019</v>
      </c>
      <c r="C228" t="s">
        <v>38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>
        <v>144</v>
      </c>
      <c r="S228">
        <v>131.69999999999999</v>
      </c>
      <c r="T228">
        <v>142.19999999999999</v>
      </c>
      <c r="U228">
        <v>150.1</v>
      </c>
      <c r="V228">
        <v>129.4</v>
      </c>
      <c r="W228">
        <v>137.19999999999999</v>
      </c>
      <c r="X228">
        <v>139.80000000000001</v>
      </c>
      <c r="Y228">
        <v>120.1</v>
      </c>
      <c r="Z228">
        <v>134</v>
      </c>
      <c r="AA228">
        <v>148</v>
      </c>
      <c r="AB228">
        <v>132.6</v>
      </c>
      <c r="AC228">
        <v>133.30000000000001</v>
      </c>
      <c r="AD228">
        <v>141.5</v>
      </c>
    </row>
    <row r="229" spans="1:30" x14ac:dyDescent="0.25">
      <c r="A229" t="s">
        <v>34</v>
      </c>
      <c r="B229">
        <v>2019</v>
      </c>
      <c r="C229" t="s">
        <v>38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>
        <v>148.4</v>
      </c>
      <c r="S229">
        <v>140.4</v>
      </c>
      <c r="T229">
        <v>147.30000000000001</v>
      </c>
      <c r="U229">
        <v>150.1</v>
      </c>
      <c r="V229">
        <v>140.30000000000001</v>
      </c>
      <c r="W229">
        <v>143.69999999999999</v>
      </c>
      <c r="X229">
        <v>146.9</v>
      </c>
      <c r="Y229">
        <v>124.9</v>
      </c>
      <c r="Z229">
        <v>139.19999999999999</v>
      </c>
      <c r="AA229">
        <v>151.6</v>
      </c>
      <c r="AB229">
        <v>133.4</v>
      </c>
      <c r="AC229">
        <v>138.19999999999999</v>
      </c>
      <c r="AD229">
        <v>142</v>
      </c>
    </row>
    <row r="230" spans="1:30" x14ac:dyDescent="0.25">
      <c r="A230" t="s">
        <v>30</v>
      </c>
      <c r="B230">
        <v>2019</v>
      </c>
      <c r="C230" t="s">
        <v>39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>
        <v>151.4</v>
      </c>
      <c r="S230">
        <v>146.5</v>
      </c>
      <c r="T230">
        <v>150.69999999999999</v>
      </c>
      <c r="U230" t="s">
        <v>32</v>
      </c>
      <c r="V230">
        <v>147.80000000000001</v>
      </c>
      <c r="W230">
        <v>149.6</v>
      </c>
      <c r="X230">
        <v>151.69999999999999</v>
      </c>
      <c r="Y230">
        <v>130.19999999999999</v>
      </c>
      <c r="Z230">
        <v>146.4</v>
      </c>
      <c r="AA230">
        <v>157.69999999999999</v>
      </c>
      <c r="AB230">
        <v>134.80000000000001</v>
      </c>
      <c r="AC230">
        <v>143.30000000000001</v>
      </c>
      <c r="AD230">
        <v>143.6</v>
      </c>
    </row>
    <row r="231" spans="1:30" x14ac:dyDescent="0.25">
      <c r="A231" t="s">
        <v>33</v>
      </c>
      <c r="B231">
        <v>2019</v>
      </c>
      <c r="C231" t="s">
        <v>39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>
        <v>144.30000000000001</v>
      </c>
      <c r="S231">
        <v>131.69999999999999</v>
      </c>
      <c r="T231">
        <v>142.4</v>
      </c>
      <c r="U231">
        <v>149.4</v>
      </c>
      <c r="V231">
        <v>130.5</v>
      </c>
      <c r="W231">
        <v>137.4</v>
      </c>
      <c r="X231">
        <v>140.30000000000001</v>
      </c>
      <c r="Y231">
        <v>119.6</v>
      </c>
      <c r="Z231">
        <v>134.30000000000001</v>
      </c>
      <c r="AA231">
        <v>148.9</v>
      </c>
      <c r="AB231">
        <v>133.69999999999999</v>
      </c>
      <c r="AC231">
        <v>133.6</v>
      </c>
      <c r="AD231">
        <v>142.1</v>
      </c>
    </row>
    <row r="232" spans="1:30" x14ac:dyDescent="0.25">
      <c r="A232" t="s">
        <v>34</v>
      </c>
      <c r="B232">
        <v>2019</v>
      </c>
      <c r="C232" t="s">
        <v>39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>
        <v>148.6</v>
      </c>
      <c r="S232">
        <v>140.4</v>
      </c>
      <c r="T232">
        <v>147.4</v>
      </c>
      <c r="U232">
        <v>149.4</v>
      </c>
      <c r="V232">
        <v>141.19999999999999</v>
      </c>
      <c r="W232">
        <v>143.80000000000001</v>
      </c>
      <c r="X232">
        <v>147.4</v>
      </c>
      <c r="Y232">
        <v>124.6</v>
      </c>
      <c r="Z232">
        <v>139.6</v>
      </c>
      <c r="AA232">
        <v>152.5</v>
      </c>
      <c r="AB232">
        <v>134.30000000000001</v>
      </c>
      <c r="AC232">
        <v>138.6</v>
      </c>
      <c r="AD232">
        <v>142.9</v>
      </c>
    </row>
    <row r="233" spans="1:30" x14ac:dyDescent="0.25">
      <c r="A233" t="s">
        <v>30</v>
      </c>
      <c r="B233">
        <v>2019</v>
      </c>
      <c r="C233" t="s">
        <v>40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>
        <v>151.6</v>
      </c>
      <c r="S233">
        <v>146.6</v>
      </c>
      <c r="T233">
        <v>150.9</v>
      </c>
      <c r="U233" t="s">
        <v>32</v>
      </c>
      <c r="V233">
        <v>146.80000000000001</v>
      </c>
      <c r="W233">
        <v>150</v>
      </c>
      <c r="X233">
        <v>152.19999999999999</v>
      </c>
      <c r="Y233">
        <v>131.19999999999999</v>
      </c>
      <c r="Z233">
        <v>147.5</v>
      </c>
      <c r="AA233">
        <v>159.1</v>
      </c>
      <c r="AB233">
        <v>136.1</v>
      </c>
      <c r="AC233">
        <v>144.19999999999999</v>
      </c>
      <c r="AD233">
        <v>144.9</v>
      </c>
    </row>
    <row r="234" spans="1:30" x14ac:dyDescent="0.25">
      <c r="A234" t="s">
        <v>33</v>
      </c>
      <c r="B234">
        <v>2019</v>
      </c>
      <c r="C234" t="s">
        <v>40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>
        <v>144.69999999999999</v>
      </c>
      <c r="S234">
        <v>131.9</v>
      </c>
      <c r="T234">
        <v>142.69999999999999</v>
      </c>
      <c r="U234">
        <v>150.6</v>
      </c>
      <c r="V234">
        <v>127</v>
      </c>
      <c r="W234">
        <v>137.69999999999999</v>
      </c>
      <c r="X234">
        <v>140.80000000000001</v>
      </c>
      <c r="Y234">
        <v>120.6</v>
      </c>
      <c r="Z234">
        <v>135</v>
      </c>
      <c r="AA234">
        <v>150.4</v>
      </c>
      <c r="AB234">
        <v>135.1</v>
      </c>
      <c r="AC234">
        <v>134.5</v>
      </c>
      <c r="AD234">
        <v>143.30000000000001</v>
      </c>
    </row>
    <row r="235" spans="1:30" x14ac:dyDescent="0.25">
      <c r="A235" t="s">
        <v>34</v>
      </c>
      <c r="B235">
        <v>2019</v>
      </c>
      <c r="C235" t="s">
        <v>40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>
        <v>148.9</v>
      </c>
      <c r="S235">
        <v>140.5</v>
      </c>
      <c r="T235">
        <v>147.6</v>
      </c>
      <c r="U235">
        <v>150.6</v>
      </c>
      <c r="V235">
        <v>139.30000000000001</v>
      </c>
      <c r="W235">
        <v>144.19999999999999</v>
      </c>
      <c r="X235">
        <v>147.9</v>
      </c>
      <c r="Y235">
        <v>125.6</v>
      </c>
      <c r="Z235">
        <v>140.5</v>
      </c>
      <c r="AA235">
        <v>154</v>
      </c>
      <c r="AB235">
        <v>135.69999999999999</v>
      </c>
      <c r="AC235">
        <v>139.5</v>
      </c>
      <c r="AD235">
        <v>144.19999999999999</v>
      </c>
    </row>
    <row r="236" spans="1:30" x14ac:dyDescent="0.25">
      <c r="A236" t="s">
        <v>30</v>
      </c>
      <c r="B236">
        <v>2019</v>
      </c>
      <c r="C236" t="s">
        <v>41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>
        <v>151.80000000000001</v>
      </c>
      <c r="S236">
        <v>146.6</v>
      </c>
      <c r="T236">
        <v>151.1</v>
      </c>
      <c r="U236" t="s">
        <v>32</v>
      </c>
      <c r="V236">
        <v>146.4</v>
      </c>
      <c r="W236">
        <v>150.19999999999999</v>
      </c>
      <c r="X236">
        <v>152.69999999999999</v>
      </c>
      <c r="Y236">
        <v>131.4</v>
      </c>
      <c r="Z236">
        <v>148</v>
      </c>
      <c r="AA236">
        <v>159.69999999999999</v>
      </c>
      <c r="AB236">
        <v>138.80000000000001</v>
      </c>
      <c r="AC236">
        <v>144.9</v>
      </c>
      <c r="AD236">
        <v>145.69999999999999</v>
      </c>
    </row>
    <row r="237" spans="1:30" x14ac:dyDescent="0.25">
      <c r="A237" t="s">
        <v>33</v>
      </c>
      <c r="B237">
        <v>2019</v>
      </c>
      <c r="C237" t="s">
        <v>41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>
        <v>145</v>
      </c>
      <c r="S237">
        <v>132.19999999999999</v>
      </c>
      <c r="T237">
        <v>143</v>
      </c>
      <c r="U237">
        <v>151.6</v>
      </c>
      <c r="V237">
        <v>125.5</v>
      </c>
      <c r="W237">
        <v>138.1</v>
      </c>
      <c r="X237">
        <v>141.5</v>
      </c>
      <c r="Y237">
        <v>120.8</v>
      </c>
      <c r="Z237">
        <v>135.4</v>
      </c>
      <c r="AA237">
        <v>151.5</v>
      </c>
      <c r="AB237">
        <v>137.80000000000001</v>
      </c>
      <c r="AC237">
        <v>135.30000000000001</v>
      </c>
      <c r="AD237">
        <v>144.19999999999999</v>
      </c>
    </row>
    <row r="238" spans="1:30" x14ac:dyDescent="0.25">
      <c r="A238" t="s">
        <v>34</v>
      </c>
      <c r="B238">
        <v>2019</v>
      </c>
      <c r="C238" t="s">
        <v>41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>
        <v>149.1</v>
      </c>
      <c r="S238">
        <v>140.6</v>
      </c>
      <c r="T238">
        <v>147.9</v>
      </c>
      <c r="U238">
        <v>151.6</v>
      </c>
      <c r="V238">
        <v>138.5</v>
      </c>
      <c r="W238">
        <v>144.5</v>
      </c>
      <c r="X238">
        <v>148.5</v>
      </c>
      <c r="Y238">
        <v>125.8</v>
      </c>
      <c r="Z238">
        <v>140.9</v>
      </c>
      <c r="AA238">
        <v>154.9</v>
      </c>
      <c r="AB238">
        <v>138.4</v>
      </c>
      <c r="AC238">
        <v>140.19999999999999</v>
      </c>
      <c r="AD238">
        <v>145</v>
      </c>
    </row>
    <row r="239" spans="1:30" x14ac:dyDescent="0.25">
      <c r="A239" t="s">
        <v>30</v>
      </c>
      <c r="B239">
        <v>2019</v>
      </c>
      <c r="C239" t="s">
        <v>42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>
        <v>151.69999999999999</v>
      </c>
      <c r="S239">
        <v>146.6</v>
      </c>
      <c r="T239">
        <v>151</v>
      </c>
      <c r="U239" t="s">
        <v>32</v>
      </c>
      <c r="V239">
        <v>146.9</v>
      </c>
      <c r="W239">
        <v>150.30000000000001</v>
      </c>
      <c r="X239">
        <v>153.4</v>
      </c>
      <c r="Y239">
        <v>131.6</v>
      </c>
      <c r="Z239">
        <v>148.30000000000001</v>
      </c>
      <c r="AA239">
        <v>160.19999999999999</v>
      </c>
      <c r="AB239">
        <v>140.19999999999999</v>
      </c>
      <c r="AC239">
        <v>145.4</v>
      </c>
      <c r="AD239">
        <v>146.69999999999999</v>
      </c>
    </row>
    <row r="240" spans="1:30" x14ac:dyDescent="0.25">
      <c r="A240" t="s">
        <v>33</v>
      </c>
      <c r="B240">
        <v>2019</v>
      </c>
      <c r="C240" t="s">
        <v>42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>
        <v>145.30000000000001</v>
      </c>
      <c r="S240">
        <v>132.19999999999999</v>
      </c>
      <c r="T240">
        <v>143.30000000000001</v>
      </c>
      <c r="U240">
        <v>152.19999999999999</v>
      </c>
      <c r="V240">
        <v>126.6</v>
      </c>
      <c r="W240">
        <v>138.30000000000001</v>
      </c>
      <c r="X240">
        <v>141.9</v>
      </c>
      <c r="Y240">
        <v>121.2</v>
      </c>
      <c r="Z240">
        <v>135.9</v>
      </c>
      <c r="AA240">
        <v>151.6</v>
      </c>
      <c r="AB240">
        <v>139</v>
      </c>
      <c r="AC240">
        <v>135.69999999999999</v>
      </c>
      <c r="AD240">
        <v>144.69999999999999</v>
      </c>
    </row>
    <row r="241" spans="1:30" x14ac:dyDescent="0.25">
      <c r="A241" t="s">
        <v>34</v>
      </c>
      <c r="B241">
        <v>2019</v>
      </c>
      <c r="C241" t="s">
        <v>42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>
        <v>149.19999999999999</v>
      </c>
      <c r="S241">
        <v>140.6</v>
      </c>
      <c r="T241">
        <v>147.9</v>
      </c>
      <c r="U241">
        <v>152.19999999999999</v>
      </c>
      <c r="V241">
        <v>139.19999999999999</v>
      </c>
      <c r="W241">
        <v>144.6</v>
      </c>
      <c r="X241">
        <v>149</v>
      </c>
      <c r="Y241">
        <v>126.1</v>
      </c>
      <c r="Z241">
        <v>141.30000000000001</v>
      </c>
      <c r="AA241">
        <v>155.19999999999999</v>
      </c>
      <c r="AB241">
        <v>139.69999999999999</v>
      </c>
      <c r="AC241">
        <v>140.69999999999999</v>
      </c>
      <c r="AD241">
        <v>145.80000000000001</v>
      </c>
    </row>
    <row r="242" spans="1:30" x14ac:dyDescent="0.25">
      <c r="A242" t="s">
        <v>30</v>
      </c>
      <c r="B242">
        <v>2019</v>
      </c>
      <c r="C242" t="s">
        <v>43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>
        <v>151.69999999999999</v>
      </c>
      <c r="S242">
        <v>146.69999999999999</v>
      </c>
      <c r="T242">
        <v>151</v>
      </c>
      <c r="U242" t="s">
        <v>32</v>
      </c>
      <c r="V242">
        <v>147.69999999999999</v>
      </c>
      <c r="W242">
        <v>150.6</v>
      </c>
      <c r="X242">
        <v>153.69999999999999</v>
      </c>
      <c r="Y242">
        <v>131.69999999999999</v>
      </c>
      <c r="Z242">
        <v>148.69999999999999</v>
      </c>
      <c r="AA242">
        <v>160.69999999999999</v>
      </c>
      <c r="AB242">
        <v>140.30000000000001</v>
      </c>
      <c r="AC242">
        <v>145.69999999999999</v>
      </c>
      <c r="AD242">
        <v>148.30000000000001</v>
      </c>
    </row>
    <row r="243" spans="1:30" x14ac:dyDescent="0.25">
      <c r="A243" t="s">
        <v>33</v>
      </c>
      <c r="B243">
        <v>2019</v>
      </c>
      <c r="C243" t="s">
        <v>43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>
        <v>145.9</v>
      </c>
      <c r="S243">
        <v>132.4</v>
      </c>
      <c r="T243">
        <v>143.9</v>
      </c>
      <c r="U243">
        <v>153</v>
      </c>
      <c r="V243">
        <v>128.9</v>
      </c>
      <c r="W243">
        <v>138.69999999999999</v>
      </c>
      <c r="X243">
        <v>142.4</v>
      </c>
      <c r="Y243">
        <v>121.5</v>
      </c>
      <c r="Z243">
        <v>136.19999999999999</v>
      </c>
      <c r="AA243">
        <v>151.69999999999999</v>
      </c>
      <c r="AB243">
        <v>139.5</v>
      </c>
      <c r="AC243">
        <v>136</v>
      </c>
      <c r="AD243">
        <v>146</v>
      </c>
    </row>
    <row r="244" spans="1:30" x14ac:dyDescent="0.25">
      <c r="A244" t="s">
        <v>34</v>
      </c>
      <c r="B244">
        <v>2019</v>
      </c>
      <c r="C244" t="s">
        <v>43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>
        <v>149.4</v>
      </c>
      <c r="S244">
        <v>140.80000000000001</v>
      </c>
      <c r="T244">
        <v>148.19999999999999</v>
      </c>
      <c r="U244">
        <v>153</v>
      </c>
      <c r="V244">
        <v>140.6</v>
      </c>
      <c r="W244">
        <v>145</v>
      </c>
      <c r="X244">
        <v>149.4</v>
      </c>
      <c r="Y244">
        <v>126.3</v>
      </c>
      <c r="Z244">
        <v>141.69999999999999</v>
      </c>
      <c r="AA244">
        <v>155.4</v>
      </c>
      <c r="AB244">
        <v>140</v>
      </c>
      <c r="AC244">
        <v>141</v>
      </c>
      <c r="AD244">
        <v>147.19999999999999</v>
      </c>
    </row>
    <row r="245" spans="1:30" x14ac:dyDescent="0.25">
      <c r="A245" t="s">
        <v>30</v>
      </c>
      <c r="B245">
        <v>2019</v>
      </c>
      <c r="C245" t="s">
        <v>45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>
        <v>152.30000000000001</v>
      </c>
      <c r="S245">
        <v>147</v>
      </c>
      <c r="T245">
        <v>151.5</v>
      </c>
      <c r="U245" t="s">
        <v>32</v>
      </c>
      <c r="V245">
        <v>148.4</v>
      </c>
      <c r="W245">
        <v>150.9</v>
      </c>
      <c r="X245">
        <v>154.30000000000001</v>
      </c>
      <c r="Y245">
        <v>132.1</v>
      </c>
      <c r="Z245">
        <v>149.1</v>
      </c>
      <c r="AA245">
        <v>160.80000000000001</v>
      </c>
      <c r="AB245">
        <v>140.6</v>
      </c>
      <c r="AC245">
        <v>146.1</v>
      </c>
      <c r="AD245">
        <v>149.9</v>
      </c>
    </row>
    <row r="246" spans="1:30" x14ac:dyDescent="0.25">
      <c r="A246" t="s">
        <v>33</v>
      </c>
      <c r="B246">
        <v>2019</v>
      </c>
      <c r="C246" t="s">
        <v>45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>
        <v>146.30000000000001</v>
      </c>
      <c r="S246">
        <v>132.6</v>
      </c>
      <c r="T246">
        <v>144.19999999999999</v>
      </c>
      <c r="U246">
        <v>153.5</v>
      </c>
      <c r="V246">
        <v>132.19999999999999</v>
      </c>
      <c r="W246">
        <v>139.1</v>
      </c>
      <c r="X246">
        <v>142.80000000000001</v>
      </c>
      <c r="Y246">
        <v>121.7</v>
      </c>
      <c r="Z246">
        <v>136.69999999999999</v>
      </c>
      <c r="AA246">
        <v>151.80000000000001</v>
      </c>
      <c r="AB246">
        <v>139.80000000000001</v>
      </c>
      <c r="AC246">
        <v>136.30000000000001</v>
      </c>
      <c r="AD246">
        <v>147</v>
      </c>
    </row>
    <row r="247" spans="1:30" x14ac:dyDescent="0.25">
      <c r="A247" t="s">
        <v>34</v>
      </c>
      <c r="B247">
        <v>2019</v>
      </c>
      <c r="C247" t="s">
        <v>45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>
        <v>149.9</v>
      </c>
      <c r="S247">
        <v>141</v>
      </c>
      <c r="T247">
        <v>148.6</v>
      </c>
      <c r="U247">
        <v>153.5</v>
      </c>
      <c r="V247">
        <v>142.30000000000001</v>
      </c>
      <c r="W247">
        <v>145.30000000000001</v>
      </c>
      <c r="X247">
        <v>149.9</v>
      </c>
      <c r="Y247">
        <v>126.6</v>
      </c>
      <c r="Z247">
        <v>142.1</v>
      </c>
      <c r="AA247">
        <v>155.5</v>
      </c>
      <c r="AB247">
        <v>140.30000000000001</v>
      </c>
      <c r="AC247">
        <v>141.30000000000001</v>
      </c>
      <c r="AD247">
        <v>148.6</v>
      </c>
    </row>
    <row r="248" spans="1:30" x14ac:dyDescent="0.25">
      <c r="A248" t="s">
        <v>30</v>
      </c>
      <c r="B248">
        <v>2019</v>
      </c>
      <c r="C248" t="s">
        <v>46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>
        <v>152.6</v>
      </c>
      <c r="S248">
        <v>147.30000000000001</v>
      </c>
      <c r="T248">
        <v>151.9</v>
      </c>
      <c r="U248" t="s">
        <v>32</v>
      </c>
      <c r="V248">
        <v>149.9</v>
      </c>
      <c r="W248">
        <v>151.19999999999999</v>
      </c>
      <c r="X248">
        <v>154.80000000000001</v>
      </c>
      <c r="Y248">
        <v>135</v>
      </c>
      <c r="Z248">
        <v>149.5</v>
      </c>
      <c r="AA248">
        <v>161.1</v>
      </c>
      <c r="AB248">
        <v>140.6</v>
      </c>
      <c r="AC248">
        <v>147.1</v>
      </c>
      <c r="AD248">
        <v>152.30000000000001</v>
      </c>
    </row>
    <row r="249" spans="1:30" x14ac:dyDescent="0.25">
      <c r="A249" t="s">
        <v>33</v>
      </c>
      <c r="B249">
        <v>2019</v>
      </c>
      <c r="C249" t="s">
        <v>46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>
        <v>146.80000000000001</v>
      </c>
      <c r="S249">
        <v>132.80000000000001</v>
      </c>
      <c r="T249">
        <v>144.6</v>
      </c>
      <c r="U249">
        <v>152.80000000000001</v>
      </c>
      <c r="V249">
        <v>133.6</v>
      </c>
      <c r="W249">
        <v>139.80000000000001</v>
      </c>
      <c r="X249">
        <v>143.19999999999999</v>
      </c>
      <c r="Y249">
        <v>125.2</v>
      </c>
      <c r="Z249">
        <v>136.80000000000001</v>
      </c>
      <c r="AA249">
        <v>151.9</v>
      </c>
      <c r="AB249">
        <v>140.19999999999999</v>
      </c>
      <c r="AC249">
        <v>137.69999999999999</v>
      </c>
      <c r="AD249">
        <v>148.30000000000001</v>
      </c>
    </row>
    <row r="250" spans="1:30" x14ac:dyDescent="0.25">
      <c r="A250" t="s">
        <v>34</v>
      </c>
      <c r="B250">
        <v>2019</v>
      </c>
      <c r="C250" t="s">
        <v>46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>
        <v>150.30000000000001</v>
      </c>
      <c r="S250">
        <v>141.30000000000001</v>
      </c>
      <c r="T250">
        <v>149</v>
      </c>
      <c r="U250">
        <v>152.80000000000001</v>
      </c>
      <c r="V250">
        <v>143.69999999999999</v>
      </c>
      <c r="W250">
        <v>145.80000000000001</v>
      </c>
      <c r="X250">
        <v>150.4</v>
      </c>
      <c r="Y250">
        <v>129.80000000000001</v>
      </c>
      <c r="Z250">
        <v>142.30000000000001</v>
      </c>
      <c r="AA250">
        <v>155.69999999999999</v>
      </c>
      <c r="AB250">
        <v>140.4</v>
      </c>
      <c r="AC250">
        <v>142.5</v>
      </c>
      <c r="AD250">
        <v>150.4</v>
      </c>
    </row>
    <row r="251" spans="1:30" x14ac:dyDescent="0.25">
      <c r="A251" t="s">
        <v>30</v>
      </c>
      <c r="B251">
        <v>2020</v>
      </c>
      <c r="C251" t="s">
        <v>31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>
        <v>152.80000000000001</v>
      </c>
      <c r="S251">
        <v>147.4</v>
      </c>
      <c r="T251">
        <v>152.1</v>
      </c>
      <c r="U251" t="s">
        <v>32</v>
      </c>
      <c r="V251">
        <v>150.4</v>
      </c>
      <c r="W251">
        <v>151.69999999999999</v>
      </c>
      <c r="X251">
        <v>155.69999999999999</v>
      </c>
      <c r="Y251">
        <v>136.30000000000001</v>
      </c>
      <c r="Z251">
        <v>150.1</v>
      </c>
      <c r="AA251">
        <v>161.69999999999999</v>
      </c>
      <c r="AB251">
        <v>142.5</v>
      </c>
      <c r="AC251">
        <v>148.1</v>
      </c>
      <c r="AD251">
        <v>151.9</v>
      </c>
    </row>
    <row r="252" spans="1:30" x14ac:dyDescent="0.25">
      <c r="A252" t="s">
        <v>33</v>
      </c>
      <c r="B252">
        <v>2020</v>
      </c>
      <c r="C252" t="s">
        <v>31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>
        <v>147</v>
      </c>
      <c r="S252">
        <v>133.19999999999999</v>
      </c>
      <c r="T252">
        <v>144.9</v>
      </c>
      <c r="U252">
        <v>153.9</v>
      </c>
      <c r="V252">
        <v>135.1</v>
      </c>
      <c r="W252">
        <v>140.1</v>
      </c>
      <c r="X252">
        <v>143.80000000000001</v>
      </c>
      <c r="Y252">
        <v>126.1</v>
      </c>
      <c r="Z252">
        <v>137.19999999999999</v>
      </c>
      <c r="AA252">
        <v>152.1</v>
      </c>
      <c r="AB252">
        <v>142.1</v>
      </c>
      <c r="AC252">
        <v>138.4</v>
      </c>
      <c r="AD252">
        <v>148.19999999999999</v>
      </c>
    </row>
    <row r="253" spans="1:30" x14ac:dyDescent="0.25">
      <c r="A253" t="s">
        <v>34</v>
      </c>
      <c r="B253">
        <v>2020</v>
      </c>
      <c r="C253" t="s">
        <v>31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>
        <v>150.5</v>
      </c>
      <c r="S253">
        <v>141.5</v>
      </c>
      <c r="T253">
        <v>149.19999999999999</v>
      </c>
      <c r="U253">
        <v>153.9</v>
      </c>
      <c r="V253">
        <v>144.6</v>
      </c>
      <c r="W253">
        <v>146.19999999999999</v>
      </c>
      <c r="X253">
        <v>151.19999999999999</v>
      </c>
      <c r="Y253">
        <v>130.9</v>
      </c>
      <c r="Z253">
        <v>142.80000000000001</v>
      </c>
      <c r="AA253">
        <v>156.1</v>
      </c>
      <c r="AB253">
        <v>142.30000000000001</v>
      </c>
      <c r="AC253">
        <v>143.4</v>
      </c>
      <c r="AD253">
        <v>150.19999999999999</v>
      </c>
    </row>
    <row r="254" spans="1:30" x14ac:dyDescent="0.25">
      <c r="A254" t="s">
        <v>30</v>
      </c>
      <c r="B254">
        <v>2020</v>
      </c>
      <c r="C254" t="s">
        <v>35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>
        <v>153</v>
      </c>
      <c r="S254">
        <v>147.5</v>
      </c>
      <c r="T254">
        <v>152.30000000000001</v>
      </c>
      <c r="U254" t="s">
        <v>32</v>
      </c>
      <c r="V254">
        <v>152.30000000000001</v>
      </c>
      <c r="W254">
        <v>151.80000000000001</v>
      </c>
      <c r="X254">
        <v>156.19999999999999</v>
      </c>
      <c r="Y254">
        <v>136</v>
      </c>
      <c r="Z254">
        <v>150.4</v>
      </c>
      <c r="AA254">
        <v>161.9</v>
      </c>
      <c r="AB254">
        <v>143.4</v>
      </c>
      <c r="AC254">
        <v>148.4</v>
      </c>
      <c r="AD254">
        <v>150.4</v>
      </c>
    </row>
    <row r="255" spans="1:30" x14ac:dyDescent="0.25">
      <c r="A255" t="s">
        <v>33</v>
      </c>
      <c r="B255">
        <v>2020</v>
      </c>
      <c r="C255" t="s">
        <v>35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>
        <v>147.30000000000001</v>
      </c>
      <c r="S255">
        <v>133.5</v>
      </c>
      <c r="T255">
        <v>145.19999999999999</v>
      </c>
      <c r="U255">
        <v>154.80000000000001</v>
      </c>
      <c r="V255">
        <v>138.9</v>
      </c>
      <c r="W255">
        <v>140.4</v>
      </c>
      <c r="X255">
        <v>144.4</v>
      </c>
      <c r="Y255">
        <v>125.2</v>
      </c>
      <c r="Z255">
        <v>137.69999999999999</v>
      </c>
      <c r="AA255">
        <v>152.19999999999999</v>
      </c>
      <c r="AB255">
        <v>143.5</v>
      </c>
      <c r="AC255">
        <v>138.4</v>
      </c>
      <c r="AD255">
        <v>147.69999999999999</v>
      </c>
    </row>
    <row r="256" spans="1:30" x14ac:dyDescent="0.25">
      <c r="A256" t="s">
        <v>34</v>
      </c>
      <c r="B256">
        <v>2020</v>
      </c>
      <c r="C256" t="s">
        <v>35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>
        <v>150.80000000000001</v>
      </c>
      <c r="S256">
        <v>141.69999999999999</v>
      </c>
      <c r="T256">
        <v>149.5</v>
      </c>
      <c r="U256">
        <v>154.80000000000001</v>
      </c>
      <c r="V256">
        <v>147.19999999999999</v>
      </c>
      <c r="W256">
        <v>146.4</v>
      </c>
      <c r="X256">
        <v>151.69999999999999</v>
      </c>
      <c r="Y256">
        <v>130.30000000000001</v>
      </c>
      <c r="Z256">
        <v>143.19999999999999</v>
      </c>
      <c r="AA256">
        <v>156.19999999999999</v>
      </c>
      <c r="AB256">
        <v>143.4</v>
      </c>
      <c r="AC256">
        <v>143.6</v>
      </c>
      <c r="AD256">
        <v>149.1</v>
      </c>
    </row>
    <row r="257" spans="1:30" x14ac:dyDescent="0.25">
      <c r="A257" t="s">
        <v>30</v>
      </c>
      <c r="B257">
        <v>2020</v>
      </c>
      <c r="C257" t="s">
        <v>36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>
        <v>153.4</v>
      </c>
      <c r="S257">
        <v>147.6</v>
      </c>
      <c r="T257">
        <v>152.5</v>
      </c>
      <c r="U257" t="s">
        <v>32</v>
      </c>
      <c r="V257">
        <v>153.4</v>
      </c>
      <c r="W257">
        <v>151.5</v>
      </c>
      <c r="X257">
        <v>156.69999999999999</v>
      </c>
      <c r="Y257">
        <v>135.80000000000001</v>
      </c>
      <c r="Z257">
        <v>151.19999999999999</v>
      </c>
      <c r="AA257">
        <v>161.19999999999999</v>
      </c>
      <c r="AB257">
        <v>145.1</v>
      </c>
      <c r="AC257">
        <v>148.6</v>
      </c>
      <c r="AD257">
        <v>149.80000000000001</v>
      </c>
    </row>
    <row r="258" spans="1:30" x14ac:dyDescent="0.25">
      <c r="A258" t="s">
        <v>33</v>
      </c>
      <c r="B258">
        <v>2020</v>
      </c>
      <c r="C258" t="s">
        <v>36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>
        <v>147.69999999999999</v>
      </c>
      <c r="S258">
        <v>133.80000000000001</v>
      </c>
      <c r="T258">
        <v>145.6</v>
      </c>
      <c r="U258">
        <v>154.5</v>
      </c>
      <c r="V258">
        <v>141.4</v>
      </c>
      <c r="W258">
        <v>140.80000000000001</v>
      </c>
      <c r="X258">
        <v>145</v>
      </c>
      <c r="Y258">
        <v>124.6</v>
      </c>
      <c r="Z258">
        <v>137.9</v>
      </c>
      <c r="AA258">
        <v>152.5</v>
      </c>
      <c r="AB258">
        <v>145.30000000000001</v>
      </c>
      <c r="AC258">
        <v>138.69999999999999</v>
      </c>
      <c r="AD258">
        <v>147.30000000000001</v>
      </c>
    </row>
    <row r="259" spans="1:30" x14ac:dyDescent="0.25">
      <c r="A259" t="s">
        <v>34</v>
      </c>
      <c r="B259">
        <v>2020</v>
      </c>
      <c r="C259" t="s">
        <v>36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>
        <v>151.19999999999999</v>
      </c>
      <c r="S259">
        <v>141.9</v>
      </c>
      <c r="T259">
        <v>149.80000000000001</v>
      </c>
      <c r="U259">
        <v>154.5</v>
      </c>
      <c r="V259">
        <v>148.9</v>
      </c>
      <c r="W259">
        <v>146.4</v>
      </c>
      <c r="X259">
        <v>152.30000000000001</v>
      </c>
      <c r="Y259">
        <v>129.9</v>
      </c>
      <c r="Z259">
        <v>143.69999999999999</v>
      </c>
      <c r="AA259">
        <v>156.1</v>
      </c>
      <c r="AB259">
        <v>145.19999999999999</v>
      </c>
      <c r="AC259">
        <v>143.80000000000001</v>
      </c>
      <c r="AD259">
        <v>148.6</v>
      </c>
    </row>
    <row r="260" spans="1:30" x14ac:dyDescent="0.25">
      <c r="A260" t="s">
        <v>30</v>
      </c>
      <c r="B260">
        <v>2020</v>
      </c>
      <c r="C260" t="s">
        <v>37</v>
      </c>
      <c r="D260">
        <v>147.19999999999999</v>
      </c>
      <c r="E260" t="s">
        <v>32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 t="s">
        <v>32</v>
      </c>
      <c r="P260">
        <v>150.1</v>
      </c>
      <c r="Q260" t="s">
        <v>32</v>
      </c>
      <c r="R260" t="s">
        <v>32</v>
      </c>
      <c r="S260" t="s">
        <v>32</v>
      </c>
      <c r="T260" t="s">
        <v>32</v>
      </c>
      <c r="U260" t="s">
        <v>32</v>
      </c>
      <c r="V260">
        <v>148.4</v>
      </c>
      <c r="W260" t="s">
        <v>32</v>
      </c>
      <c r="X260">
        <v>154.30000000000001</v>
      </c>
      <c r="Y260" t="s">
        <v>32</v>
      </c>
      <c r="Z260" t="s">
        <v>32</v>
      </c>
      <c r="AA260" t="s">
        <v>32</v>
      </c>
      <c r="AB260" t="s">
        <v>32</v>
      </c>
      <c r="AC260" t="s">
        <v>32</v>
      </c>
      <c r="AD260" t="s">
        <v>32</v>
      </c>
    </row>
    <row r="261" spans="1:30" x14ac:dyDescent="0.25">
      <c r="A261" t="s">
        <v>33</v>
      </c>
      <c r="B261">
        <v>2020</v>
      </c>
      <c r="C261" t="s">
        <v>37</v>
      </c>
      <c r="D261">
        <v>151.80000000000001</v>
      </c>
      <c r="E261" t="s">
        <v>32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 t="s">
        <v>32</v>
      </c>
      <c r="P261">
        <v>153.5</v>
      </c>
      <c r="Q261" t="s">
        <v>32</v>
      </c>
      <c r="R261" t="s">
        <v>32</v>
      </c>
      <c r="S261" t="s">
        <v>32</v>
      </c>
      <c r="T261" t="s">
        <v>32</v>
      </c>
      <c r="U261">
        <v>155.6</v>
      </c>
      <c r="V261">
        <v>137.1</v>
      </c>
      <c r="W261" t="s">
        <v>32</v>
      </c>
      <c r="X261">
        <v>144.80000000000001</v>
      </c>
      <c r="Y261" t="s">
        <v>32</v>
      </c>
      <c r="Z261" t="s">
        <v>32</v>
      </c>
      <c r="AA261" t="s">
        <v>32</v>
      </c>
      <c r="AB261" t="s">
        <v>32</v>
      </c>
      <c r="AC261" t="s">
        <v>32</v>
      </c>
      <c r="AD261" t="s">
        <v>32</v>
      </c>
    </row>
    <row r="262" spans="1:30" x14ac:dyDescent="0.25">
      <c r="A262" t="s">
        <v>34</v>
      </c>
      <c r="B262">
        <v>2020</v>
      </c>
      <c r="C262" t="s">
        <v>37</v>
      </c>
      <c r="D262">
        <v>148.69999999999999</v>
      </c>
      <c r="E262" t="s">
        <v>32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 t="s">
        <v>32</v>
      </c>
      <c r="P262">
        <v>151.4</v>
      </c>
      <c r="Q262" t="s">
        <v>32</v>
      </c>
      <c r="R262" t="s">
        <v>32</v>
      </c>
      <c r="S262" t="s">
        <v>32</v>
      </c>
      <c r="T262" t="s">
        <v>32</v>
      </c>
      <c r="U262">
        <v>155.6</v>
      </c>
      <c r="V262">
        <v>144.1</v>
      </c>
      <c r="W262" t="s">
        <v>32</v>
      </c>
      <c r="X262">
        <v>150.69999999999999</v>
      </c>
      <c r="Y262" t="s">
        <v>32</v>
      </c>
      <c r="Z262" t="s">
        <v>32</v>
      </c>
      <c r="AA262" t="s">
        <v>32</v>
      </c>
      <c r="AB262" t="s">
        <v>32</v>
      </c>
      <c r="AC262" t="s">
        <v>32</v>
      </c>
      <c r="AD262" t="s">
        <v>32</v>
      </c>
    </row>
    <row r="263" spans="1:30" x14ac:dyDescent="0.25">
      <c r="A263" t="s">
        <v>30</v>
      </c>
      <c r="B263">
        <v>2020</v>
      </c>
      <c r="C263" t="s">
        <v>38</v>
      </c>
      <c r="D263" t="s">
        <v>32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32</v>
      </c>
      <c r="K263" t="s">
        <v>32</v>
      </c>
      <c r="L263" t="s">
        <v>32</v>
      </c>
      <c r="M263" t="s">
        <v>32</v>
      </c>
      <c r="N263" t="s">
        <v>32</v>
      </c>
      <c r="O263" t="s">
        <v>32</v>
      </c>
      <c r="P263" t="s">
        <v>32</v>
      </c>
      <c r="Q263" t="s">
        <v>32</v>
      </c>
      <c r="R263" t="s">
        <v>32</v>
      </c>
      <c r="S263" t="s">
        <v>32</v>
      </c>
      <c r="T263" t="s">
        <v>32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  <c r="Z263" t="s">
        <v>32</v>
      </c>
      <c r="AA263" t="s">
        <v>32</v>
      </c>
      <c r="AB263" t="s">
        <v>32</v>
      </c>
      <c r="AC263" t="s">
        <v>32</v>
      </c>
      <c r="AD263" t="s">
        <v>32</v>
      </c>
    </row>
    <row r="264" spans="1:30" x14ac:dyDescent="0.25">
      <c r="A264" t="s">
        <v>33</v>
      </c>
      <c r="B264">
        <v>2020</v>
      </c>
      <c r="C264" t="s">
        <v>38</v>
      </c>
      <c r="D264" t="s">
        <v>32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32</v>
      </c>
      <c r="K264" t="s">
        <v>32</v>
      </c>
      <c r="L264" t="s">
        <v>32</v>
      </c>
      <c r="M264" t="s">
        <v>32</v>
      </c>
      <c r="N264" t="s">
        <v>32</v>
      </c>
      <c r="O264" t="s">
        <v>32</v>
      </c>
      <c r="P264" t="s">
        <v>32</v>
      </c>
      <c r="Q264" t="s">
        <v>32</v>
      </c>
      <c r="R264" t="s">
        <v>32</v>
      </c>
      <c r="S264" t="s">
        <v>32</v>
      </c>
      <c r="T264" t="s">
        <v>32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  <c r="Z264" t="s">
        <v>32</v>
      </c>
      <c r="AA264" t="s">
        <v>32</v>
      </c>
      <c r="AB264" t="s">
        <v>32</v>
      </c>
      <c r="AC264" t="s">
        <v>32</v>
      </c>
      <c r="AD264" t="s">
        <v>32</v>
      </c>
    </row>
    <row r="265" spans="1:30" x14ac:dyDescent="0.25">
      <c r="A265" t="s">
        <v>34</v>
      </c>
      <c r="B265">
        <v>2020</v>
      </c>
      <c r="C265" t="s">
        <v>38</v>
      </c>
      <c r="D265" t="s">
        <v>32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32</v>
      </c>
      <c r="K265" t="s">
        <v>32</v>
      </c>
      <c r="L265" t="s">
        <v>32</v>
      </c>
      <c r="M265" t="s">
        <v>32</v>
      </c>
      <c r="N265" t="s">
        <v>32</v>
      </c>
      <c r="O265" t="s">
        <v>32</v>
      </c>
      <c r="P265" t="s">
        <v>32</v>
      </c>
      <c r="Q265" t="s">
        <v>32</v>
      </c>
      <c r="R265" t="s">
        <v>32</v>
      </c>
      <c r="S265" t="s">
        <v>32</v>
      </c>
      <c r="T265" t="s">
        <v>32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  <c r="Z265" t="s">
        <v>32</v>
      </c>
      <c r="AA265" t="s">
        <v>32</v>
      </c>
      <c r="AB265" t="s">
        <v>32</v>
      </c>
      <c r="AC265" t="s">
        <v>32</v>
      </c>
      <c r="AD265" t="s">
        <v>32</v>
      </c>
    </row>
    <row r="266" spans="1:30" x14ac:dyDescent="0.25">
      <c r="A266" t="s">
        <v>30</v>
      </c>
      <c r="B266">
        <v>2020</v>
      </c>
      <c r="C266" t="s">
        <v>39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>
        <v>154.69999999999999</v>
      </c>
      <c r="S266">
        <v>150</v>
      </c>
      <c r="T266">
        <v>154.1</v>
      </c>
      <c r="U266" t="s">
        <v>32</v>
      </c>
      <c r="V266">
        <v>144.9</v>
      </c>
      <c r="W266">
        <v>151.69999999999999</v>
      </c>
      <c r="X266">
        <v>158.19999999999999</v>
      </c>
      <c r="Y266">
        <v>141.4</v>
      </c>
      <c r="Z266">
        <v>153.19999999999999</v>
      </c>
      <c r="AA266">
        <v>161.80000000000001</v>
      </c>
      <c r="AB266">
        <v>151.19999999999999</v>
      </c>
      <c r="AC266">
        <v>151.69999999999999</v>
      </c>
      <c r="AD266">
        <v>152.69999999999999</v>
      </c>
    </row>
    <row r="267" spans="1:30" x14ac:dyDescent="0.25">
      <c r="A267" t="s">
        <v>33</v>
      </c>
      <c r="B267">
        <v>2020</v>
      </c>
      <c r="C267" t="s">
        <v>39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>
        <v>149.1</v>
      </c>
      <c r="S267">
        <v>136.6</v>
      </c>
      <c r="T267">
        <v>147.19999999999999</v>
      </c>
      <c r="U267">
        <v>154.69999999999999</v>
      </c>
      <c r="V267">
        <v>137.1</v>
      </c>
      <c r="W267">
        <v>140.4</v>
      </c>
      <c r="X267">
        <v>148.1</v>
      </c>
      <c r="Y267">
        <v>129.30000000000001</v>
      </c>
      <c r="Z267">
        <v>144.5</v>
      </c>
      <c r="AA267">
        <v>152.5</v>
      </c>
      <c r="AB267">
        <v>152.19999999999999</v>
      </c>
      <c r="AC267">
        <v>142</v>
      </c>
      <c r="AD267">
        <v>150.80000000000001</v>
      </c>
    </row>
    <row r="268" spans="1:30" x14ac:dyDescent="0.25">
      <c r="A268" t="s">
        <v>34</v>
      </c>
      <c r="B268">
        <v>2020</v>
      </c>
      <c r="C268" t="s">
        <v>39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>
        <v>152.5</v>
      </c>
      <c r="S268">
        <v>144.4</v>
      </c>
      <c r="T268">
        <v>151.4</v>
      </c>
      <c r="U268">
        <v>154.69999999999999</v>
      </c>
      <c r="V268">
        <v>141.9</v>
      </c>
      <c r="W268">
        <v>146.4</v>
      </c>
      <c r="X268">
        <v>154.4</v>
      </c>
      <c r="Y268">
        <v>135</v>
      </c>
      <c r="Z268">
        <v>148.30000000000001</v>
      </c>
      <c r="AA268">
        <v>156.4</v>
      </c>
      <c r="AB268">
        <v>151.6</v>
      </c>
      <c r="AC268">
        <v>147</v>
      </c>
      <c r="AD268">
        <v>151.80000000000001</v>
      </c>
    </row>
    <row r="269" spans="1:30" x14ac:dyDescent="0.25">
      <c r="A269" t="s">
        <v>30</v>
      </c>
      <c r="B269">
        <v>2020</v>
      </c>
      <c r="C269" t="s">
        <v>40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>
        <v>154.69999999999999</v>
      </c>
      <c r="S269">
        <v>150</v>
      </c>
      <c r="T269">
        <v>154.1</v>
      </c>
      <c r="U269" t="s">
        <v>32</v>
      </c>
      <c r="V269">
        <v>144.9</v>
      </c>
      <c r="W269">
        <v>151.69999999999999</v>
      </c>
      <c r="X269">
        <v>158.19999999999999</v>
      </c>
      <c r="Y269">
        <v>141.4</v>
      </c>
      <c r="Z269">
        <v>153.19999999999999</v>
      </c>
      <c r="AA269">
        <v>161.80000000000001</v>
      </c>
      <c r="AB269">
        <v>151.19999999999999</v>
      </c>
      <c r="AC269">
        <v>151.69999999999999</v>
      </c>
      <c r="AD269">
        <v>152.69999999999999</v>
      </c>
    </row>
    <row r="270" spans="1:30" x14ac:dyDescent="0.25">
      <c r="A270" t="s">
        <v>33</v>
      </c>
      <c r="B270">
        <v>2020</v>
      </c>
      <c r="C270" t="s">
        <v>40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>
        <v>149.1</v>
      </c>
      <c r="S270">
        <v>136.6</v>
      </c>
      <c r="T270">
        <v>147.19999999999999</v>
      </c>
      <c r="U270">
        <v>154.69999999999999</v>
      </c>
      <c r="V270">
        <v>137.1</v>
      </c>
      <c r="W270">
        <v>140.4</v>
      </c>
      <c r="X270">
        <v>148.1</v>
      </c>
      <c r="Y270">
        <v>129.30000000000001</v>
      </c>
      <c r="Z270">
        <v>144.5</v>
      </c>
      <c r="AA270">
        <v>152.5</v>
      </c>
      <c r="AB270">
        <v>152.19999999999999</v>
      </c>
      <c r="AC270">
        <v>142</v>
      </c>
      <c r="AD270">
        <v>150.80000000000001</v>
      </c>
    </row>
    <row r="271" spans="1:30" x14ac:dyDescent="0.25">
      <c r="A271" t="s">
        <v>34</v>
      </c>
      <c r="B271">
        <v>2020</v>
      </c>
      <c r="C271" t="s">
        <v>40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>
        <v>152.5</v>
      </c>
      <c r="S271">
        <v>144.4</v>
      </c>
      <c r="T271">
        <v>151.4</v>
      </c>
      <c r="U271">
        <v>154.69999999999999</v>
      </c>
      <c r="V271">
        <v>141.9</v>
      </c>
      <c r="W271">
        <v>146.4</v>
      </c>
      <c r="X271">
        <v>154.4</v>
      </c>
      <c r="Y271">
        <v>135</v>
      </c>
      <c r="Z271">
        <v>148.30000000000001</v>
      </c>
      <c r="AA271">
        <v>156.4</v>
      </c>
      <c r="AB271">
        <v>151.6</v>
      </c>
      <c r="AC271">
        <v>147</v>
      </c>
      <c r="AD271">
        <v>151.80000000000001</v>
      </c>
    </row>
    <row r="272" spans="1:30" x14ac:dyDescent="0.25">
      <c r="A272" t="s">
        <v>30</v>
      </c>
      <c r="B272">
        <v>2020</v>
      </c>
      <c r="C272" t="s">
        <v>41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>
        <v>155.1</v>
      </c>
      <c r="S272">
        <v>149.30000000000001</v>
      </c>
      <c r="T272">
        <v>154.30000000000001</v>
      </c>
      <c r="U272" t="s">
        <v>32</v>
      </c>
      <c r="V272">
        <v>145.80000000000001</v>
      </c>
      <c r="W272">
        <v>151.9</v>
      </c>
      <c r="X272">
        <v>158.80000000000001</v>
      </c>
      <c r="Y272">
        <v>143.6</v>
      </c>
      <c r="Z272">
        <v>152.19999999999999</v>
      </c>
      <c r="AA272">
        <v>162.69999999999999</v>
      </c>
      <c r="AB272">
        <v>153.6</v>
      </c>
      <c r="AC272">
        <v>153</v>
      </c>
      <c r="AD272">
        <v>154.69999999999999</v>
      </c>
    </row>
    <row r="273" spans="1:30" x14ac:dyDescent="0.25">
      <c r="A273" t="s">
        <v>33</v>
      </c>
      <c r="B273">
        <v>2020</v>
      </c>
      <c r="C273" t="s">
        <v>41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>
        <v>150</v>
      </c>
      <c r="S273">
        <v>135.19999999999999</v>
      </c>
      <c r="T273">
        <v>147.80000000000001</v>
      </c>
      <c r="U273">
        <v>155.5</v>
      </c>
      <c r="V273">
        <v>138.30000000000001</v>
      </c>
      <c r="W273">
        <v>144.5</v>
      </c>
      <c r="X273">
        <v>148.69999999999999</v>
      </c>
      <c r="Y273">
        <v>133.9</v>
      </c>
      <c r="Z273">
        <v>141.19999999999999</v>
      </c>
      <c r="AA273">
        <v>155.5</v>
      </c>
      <c r="AB273">
        <v>155.19999999999999</v>
      </c>
      <c r="AC273">
        <v>144.80000000000001</v>
      </c>
      <c r="AD273">
        <v>152.9</v>
      </c>
    </row>
    <row r="274" spans="1:30" x14ac:dyDescent="0.25">
      <c r="A274" t="s">
        <v>34</v>
      </c>
      <c r="B274">
        <v>2020</v>
      </c>
      <c r="C274" t="s">
        <v>41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>
        <v>153.1</v>
      </c>
      <c r="S274">
        <v>143.4</v>
      </c>
      <c r="T274">
        <v>151.69999999999999</v>
      </c>
      <c r="U274">
        <v>155.5</v>
      </c>
      <c r="V274">
        <v>143</v>
      </c>
      <c r="W274">
        <v>148.4</v>
      </c>
      <c r="X274">
        <v>155</v>
      </c>
      <c r="Y274">
        <v>138.5</v>
      </c>
      <c r="Z274">
        <v>146</v>
      </c>
      <c r="AA274">
        <v>158.5</v>
      </c>
      <c r="AB274">
        <v>154.30000000000001</v>
      </c>
      <c r="AC274">
        <v>149</v>
      </c>
      <c r="AD274">
        <v>153.9</v>
      </c>
    </row>
    <row r="275" spans="1:30" x14ac:dyDescent="0.25">
      <c r="A275" t="s">
        <v>30</v>
      </c>
      <c r="B275">
        <v>2020</v>
      </c>
      <c r="C275" t="s">
        <v>42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>
        <v>155.4</v>
      </c>
      <c r="S275">
        <v>149.9</v>
      </c>
      <c r="T275">
        <v>154.6</v>
      </c>
      <c r="U275" t="s">
        <v>32</v>
      </c>
      <c r="V275">
        <v>146.4</v>
      </c>
      <c r="W275">
        <v>151.6</v>
      </c>
      <c r="X275">
        <v>159.1</v>
      </c>
      <c r="Y275">
        <v>144.6</v>
      </c>
      <c r="Z275">
        <v>152.80000000000001</v>
      </c>
      <c r="AA275">
        <v>161.1</v>
      </c>
      <c r="AB275">
        <v>157.4</v>
      </c>
      <c r="AC275">
        <v>153.69999999999999</v>
      </c>
      <c r="AD275">
        <v>155.4</v>
      </c>
    </row>
    <row r="276" spans="1:30" x14ac:dyDescent="0.25">
      <c r="A276" t="s">
        <v>33</v>
      </c>
      <c r="B276">
        <v>2020</v>
      </c>
      <c r="C276" t="s">
        <v>42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>
        <v>150.19999999999999</v>
      </c>
      <c r="S276">
        <v>136.30000000000001</v>
      </c>
      <c r="T276">
        <v>148.1</v>
      </c>
      <c r="U276">
        <v>156.30000000000001</v>
      </c>
      <c r="V276">
        <v>137.19999999999999</v>
      </c>
      <c r="W276">
        <v>145.4</v>
      </c>
      <c r="X276">
        <v>150</v>
      </c>
      <c r="Y276">
        <v>135.1</v>
      </c>
      <c r="Z276">
        <v>141.80000000000001</v>
      </c>
      <c r="AA276">
        <v>154.9</v>
      </c>
      <c r="AB276">
        <v>159.80000000000001</v>
      </c>
      <c r="AC276">
        <v>146</v>
      </c>
      <c r="AD276">
        <v>154</v>
      </c>
    </row>
    <row r="277" spans="1:30" x14ac:dyDescent="0.25">
      <c r="A277" t="s">
        <v>34</v>
      </c>
      <c r="B277">
        <v>2020</v>
      </c>
      <c r="C277" t="s">
        <v>42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>
        <v>153.4</v>
      </c>
      <c r="S277">
        <v>144.30000000000001</v>
      </c>
      <c r="T277">
        <v>152</v>
      </c>
      <c r="U277">
        <v>156.30000000000001</v>
      </c>
      <c r="V277">
        <v>142.9</v>
      </c>
      <c r="W277">
        <v>148.69999999999999</v>
      </c>
      <c r="X277">
        <v>155.6</v>
      </c>
      <c r="Y277">
        <v>139.6</v>
      </c>
      <c r="Z277">
        <v>146.6</v>
      </c>
      <c r="AA277">
        <v>157.5</v>
      </c>
      <c r="AB277">
        <v>158.4</v>
      </c>
      <c r="AC277">
        <v>150</v>
      </c>
      <c r="AD277">
        <v>154.69999999999999</v>
      </c>
    </row>
    <row r="278" spans="1:30" x14ac:dyDescent="0.25">
      <c r="A278" t="s">
        <v>30</v>
      </c>
      <c r="B278">
        <v>2020</v>
      </c>
      <c r="C278" t="s">
        <v>43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>
        <v>155.69999999999999</v>
      </c>
      <c r="S278">
        <v>150.6</v>
      </c>
      <c r="T278">
        <v>155</v>
      </c>
      <c r="U278" t="s">
        <v>32</v>
      </c>
      <c r="V278">
        <v>146.80000000000001</v>
      </c>
      <c r="W278">
        <v>152</v>
      </c>
      <c r="X278">
        <v>159.5</v>
      </c>
      <c r="Y278">
        <v>146.4</v>
      </c>
      <c r="Z278">
        <v>152.4</v>
      </c>
      <c r="AA278">
        <v>162.5</v>
      </c>
      <c r="AB278">
        <v>156.19999999999999</v>
      </c>
      <c r="AC278">
        <v>154.30000000000001</v>
      </c>
      <c r="AD278">
        <v>157.5</v>
      </c>
    </row>
    <row r="279" spans="1:30" x14ac:dyDescent="0.25">
      <c r="A279" t="s">
        <v>33</v>
      </c>
      <c r="B279">
        <v>2020</v>
      </c>
      <c r="C279" t="s">
        <v>43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>
        <v>150.5</v>
      </c>
      <c r="S279">
        <v>136.1</v>
      </c>
      <c r="T279">
        <v>148.30000000000001</v>
      </c>
      <c r="U279">
        <v>156.5</v>
      </c>
      <c r="V279">
        <v>137.1</v>
      </c>
      <c r="W279">
        <v>145.1</v>
      </c>
      <c r="X279">
        <v>151</v>
      </c>
      <c r="Y279">
        <v>135.4</v>
      </c>
      <c r="Z279">
        <v>142</v>
      </c>
      <c r="AA279">
        <v>155.69999999999999</v>
      </c>
      <c r="AB279">
        <v>158.1</v>
      </c>
      <c r="AC279">
        <v>146.19999999999999</v>
      </c>
      <c r="AD279">
        <v>155.19999999999999</v>
      </c>
    </row>
    <row r="280" spans="1:30" x14ac:dyDescent="0.25">
      <c r="A280" t="s">
        <v>34</v>
      </c>
      <c r="B280">
        <v>2020</v>
      </c>
      <c r="C280" t="s">
        <v>43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>
        <v>153.69999999999999</v>
      </c>
      <c r="S280">
        <v>144.6</v>
      </c>
      <c r="T280">
        <v>152.30000000000001</v>
      </c>
      <c r="U280">
        <v>156.5</v>
      </c>
      <c r="V280">
        <v>143.1</v>
      </c>
      <c r="W280">
        <v>148.69999999999999</v>
      </c>
      <c r="X280">
        <v>156.30000000000001</v>
      </c>
      <c r="Y280">
        <v>140.6</v>
      </c>
      <c r="Z280">
        <v>146.5</v>
      </c>
      <c r="AA280">
        <v>158.5</v>
      </c>
      <c r="AB280">
        <v>157</v>
      </c>
      <c r="AC280">
        <v>150.4</v>
      </c>
      <c r="AD280">
        <v>156.4</v>
      </c>
    </row>
    <row r="281" spans="1:30" x14ac:dyDescent="0.25">
      <c r="A281" t="s">
        <v>30</v>
      </c>
      <c r="B281">
        <v>2020</v>
      </c>
      <c r="C281" t="s">
        <v>45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>
        <v>156.30000000000001</v>
      </c>
      <c r="S281">
        <v>151</v>
      </c>
      <c r="T281">
        <v>155.5</v>
      </c>
      <c r="U281" t="s">
        <v>32</v>
      </c>
      <c r="V281">
        <v>147.5</v>
      </c>
      <c r="W281">
        <v>152.80000000000001</v>
      </c>
      <c r="X281">
        <v>160.4</v>
      </c>
      <c r="Y281">
        <v>146.1</v>
      </c>
      <c r="Z281">
        <v>153.6</v>
      </c>
      <c r="AA281">
        <v>161.6</v>
      </c>
      <c r="AB281">
        <v>156.19999999999999</v>
      </c>
      <c r="AC281">
        <v>154.5</v>
      </c>
      <c r="AD281">
        <v>159.80000000000001</v>
      </c>
    </row>
    <row r="282" spans="1:30" x14ac:dyDescent="0.25">
      <c r="A282" t="s">
        <v>33</v>
      </c>
      <c r="B282">
        <v>2020</v>
      </c>
      <c r="C282" t="s">
        <v>45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>
        <v>151.1</v>
      </c>
      <c r="S282">
        <v>136.4</v>
      </c>
      <c r="T282">
        <v>148.80000000000001</v>
      </c>
      <c r="U282">
        <v>158</v>
      </c>
      <c r="V282">
        <v>137.30000000000001</v>
      </c>
      <c r="W282">
        <v>145.1</v>
      </c>
      <c r="X282">
        <v>152</v>
      </c>
      <c r="Y282">
        <v>135.19999999999999</v>
      </c>
      <c r="Z282">
        <v>144.4</v>
      </c>
      <c r="AA282">
        <v>156.4</v>
      </c>
      <c r="AB282">
        <v>157.9</v>
      </c>
      <c r="AC282">
        <v>146.6</v>
      </c>
      <c r="AD282">
        <v>156.69999999999999</v>
      </c>
    </row>
    <row r="283" spans="1:30" x14ac:dyDescent="0.25">
      <c r="A283" t="s">
        <v>34</v>
      </c>
      <c r="B283">
        <v>2020</v>
      </c>
      <c r="C283" t="s">
        <v>45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>
        <v>154.30000000000001</v>
      </c>
      <c r="S283">
        <v>144.9</v>
      </c>
      <c r="T283">
        <v>152.80000000000001</v>
      </c>
      <c r="U283">
        <v>158</v>
      </c>
      <c r="V283">
        <v>143.6</v>
      </c>
      <c r="W283">
        <v>149.19999999999999</v>
      </c>
      <c r="X283">
        <v>157.19999999999999</v>
      </c>
      <c r="Y283">
        <v>140.4</v>
      </c>
      <c r="Z283">
        <v>148.4</v>
      </c>
      <c r="AA283">
        <v>158.6</v>
      </c>
      <c r="AB283">
        <v>156.9</v>
      </c>
      <c r="AC283">
        <v>150.69999999999999</v>
      </c>
      <c r="AD283">
        <v>158.4</v>
      </c>
    </row>
    <row r="284" spans="1:30" x14ac:dyDescent="0.25">
      <c r="A284" t="s">
        <v>30</v>
      </c>
      <c r="B284">
        <v>2020</v>
      </c>
      <c r="C284" t="s">
        <v>46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>
        <v>157</v>
      </c>
      <c r="S284">
        <v>151.6</v>
      </c>
      <c r="T284">
        <v>156.30000000000001</v>
      </c>
      <c r="U284" t="s">
        <v>32</v>
      </c>
      <c r="V284">
        <v>148.69999999999999</v>
      </c>
      <c r="W284">
        <v>153.4</v>
      </c>
      <c r="X284">
        <v>161.6</v>
      </c>
      <c r="Y284">
        <v>146.4</v>
      </c>
      <c r="Z284">
        <v>153.9</v>
      </c>
      <c r="AA284">
        <v>162.9</v>
      </c>
      <c r="AB284">
        <v>156.6</v>
      </c>
      <c r="AC284">
        <v>155.19999999999999</v>
      </c>
      <c r="AD284">
        <v>160.69999999999999</v>
      </c>
    </row>
    <row r="285" spans="1:30" x14ac:dyDescent="0.25">
      <c r="A285" t="s">
        <v>33</v>
      </c>
      <c r="B285">
        <v>2020</v>
      </c>
      <c r="C285" t="s">
        <v>46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>
        <v>151.9</v>
      </c>
      <c r="S285">
        <v>136.69999999999999</v>
      </c>
      <c r="T285">
        <v>149.6</v>
      </c>
      <c r="U285">
        <v>158.4</v>
      </c>
      <c r="V285">
        <v>137.9</v>
      </c>
      <c r="W285">
        <v>145.5</v>
      </c>
      <c r="X285">
        <v>152.9</v>
      </c>
      <c r="Y285">
        <v>135.5</v>
      </c>
      <c r="Z285">
        <v>144.30000000000001</v>
      </c>
      <c r="AA285">
        <v>156.9</v>
      </c>
      <c r="AB285">
        <v>157.9</v>
      </c>
      <c r="AC285">
        <v>146.9</v>
      </c>
      <c r="AD285">
        <v>156.9</v>
      </c>
    </row>
    <row r="286" spans="1:30" x14ac:dyDescent="0.25">
      <c r="A286" t="s">
        <v>34</v>
      </c>
      <c r="B286">
        <v>2020</v>
      </c>
      <c r="C286" t="s">
        <v>46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>
        <v>155</v>
      </c>
      <c r="S286">
        <v>145.4</v>
      </c>
      <c r="T286">
        <v>153.6</v>
      </c>
      <c r="U286">
        <v>158.4</v>
      </c>
      <c r="V286">
        <v>144.6</v>
      </c>
      <c r="W286">
        <v>149.69999999999999</v>
      </c>
      <c r="X286">
        <v>158.30000000000001</v>
      </c>
      <c r="Y286">
        <v>140.69999999999999</v>
      </c>
      <c r="Z286">
        <v>148.5</v>
      </c>
      <c r="AA286">
        <v>159.4</v>
      </c>
      <c r="AB286">
        <v>157.1</v>
      </c>
      <c r="AC286">
        <v>151.19999999999999</v>
      </c>
      <c r="AD286">
        <v>158.9</v>
      </c>
    </row>
    <row r="287" spans="1:30" x14ac:dyDescent="0.25">
      <c r="A287" t="s">
        <v>30</v>
      </c>
      <c r="B287">
        <v>2021</v>
      </c>
      <c r="C287" t="s">
        <v>31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>
        <v>157.5</v>
      </c>
      <c r="S287">
        <v>152.4</v>
      </c>
      <c r="T287">
        <v>156.80000000000001</v>
      </c>
      <c r="U287" t="s">
        <v>32</v>
      </c>
      <c r="V287">
        <v>150.9</v>
      </c>
      <c r="W287">
        <v>153.9</v>
      </c>
      <c r="X287">
        <v>162.5</v>
      </c>
      <c r="Y287">
        <v>147.5</v>
      </c>
      <c r="Z287">
        <v>155.1</v>
      </c>
      <c r="AA287">
        <v>163.5</v>
      </c>
      <c r="AB287">
        <v>156.19999999999999</v>
      </c>
      <c r="AC287">
        <v>155.9</v>
      </c>
      <c r="AD287">
        <v>158.5</v>
      </c>
    </row>
    <row r="288" spans="1:30" x14ac:dyDescent="0.25">
      <c r="A288" t="s">
        <v>33</v>
      </c>
      <c r="B288">
        <v>2021</v>
      </c>
      <c r="C288" t="s">
        <v>31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>
        <v>152.5</v>
      </c>
      <c r="S288">
        <v>137.30000000000001</v>
      </c>
      <c r="T288">
        <v>150.19999999999999</v>
      </c>
      <c r="U288">
        <v>157.69999999999999</v>
      </c>
      <c r="V288">
        <v>142.9</v>
      </c>
      <c r="W288">
        <v>145.69999999999999</v>
      </c>
      <c r="X288">
        <v>154.1</v>
      </c>
      <c r="Y288">
        <v>136.9</v>
      </c>
      <c r="Z288">
        <v>145.4</v>
      </c>
      <c r="AA288">
        <v>156.1</v>
      </c>
      <c r="AB288">
        <v>157.69999999999999</v>
      </c>
      <c r="AC288">
        <v>147.6</v>
      </c>
      <c r="AD288">
        <v>156</v>
      </c>
    </row>
    <row r="289" spans="1:30" x14ac:dyDescent="0.25">
      <c r="A289" t="s">
        <v>34</v>
      </c>
      <c r="B289">
        <v>2021</v>
      </c>
      <c r="C289" t="s">
        <v>31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>
        <v>155.5</v>
      </c>
      <c r="S289">
        <v>146.1</v>
      </c>
      <c r="T289">
        <v>154.19999999999999</v>
      </c>
      <c r="U289">
        <v>157.69999999999999</v>
      </c>
      <c r="V289">
        <v>147.9</v>
      </c>
      <c r="W289">
        <v>150</v>
      </c>
      <c r="X289">
        <v>159.30000000000001</v>
      </c>
      <c r="Y289">
        <v>141.9</v>
      </c>
      <c r="Z289">
        <v>149.6</v>
      </c>
      <c r="AA289">
        <v>159.19999999999999</v>
      </c>
      <c r="AB289">
        <v>156.80000000000001</v>
      </c>
      <c r="AC289">
        <v>151.9</v>
      </c>
      <c r="AD289">
        <v>157.30000000000001</v>
      </c>
    </row>
    <row r="290" spans="1:30" x14ac:dyDescent="0.25">
      <c r="A290" t="s">
        <v>30</v>
      </c>
      <c r="B290">
        <v>2021</v>
      </c>
      <c r="C290" t="s">
        <v>35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>
        <v>159.1</v>
      </c>
      <c r="S290">
        <v>153.9</v>
      </c>
      <c r="T290">
        <v>158.4</v>
      </c>
      <c r="U290" t="s">
        <v>32</v>
      </c>
      <c r="V290">
        <v>154.4</v>
      </c>
      <c r="W290">
        <v>154.80000000000001</v>
      </c>
      <c r="X290">
        <v>164.3</v>
      </c>
      <c r="Y290">
        <v>150.19999999999999</v>
      </c>
      <c r="Z290">
        <v>157</v>
      </c>
      <c r="AA290">
        <v>163.6</v>
      </c>
      <c r="AB290">
        <v>155.19999999999999</v>
      </c>
      <c r="AC290">
        <v>157.19999999999999</v>
      </c>
      <c r="AD290">
        <v>156.69999999999999</v>
      </c>
    </row>
    <row r="291" spans="1:30" x14ac:dyDescent="0.25">
      <c r="A291" t="s">
        <v>33</v>
      </c>
      <c r="B291">
        <v>2021</v>
      </c>
      <c r="C291" t="s">
        <v>35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>
        <v>154.19999999999999</v>
      </c>
      <c r="S291">
        <v>138.19999999999999</v>
      </c>
      <c r="T291">
        <v>151.80000000000001</v>
      </c>
      <c r="U291">
        <v>159.80000000000001</v>
      </c>
      <c r="V291">
        <v>149.1</v>
      </c>
      <c r="W291">
        <v>146.5</v>
      </c>
      <c r="X291">
        <v>156.30000000000001</v>
      </c>
      <c r="Y291">
        <v>140.5</v>
      </c>
      <c r="Z291">
        <v>147.30000000000001</v>
      </c>
      <c r="AA291">
        <v>156.6</v>
      </c>
      <c r="AB291">
        <v>156.69999999999999</v>
      </c>
      <c r="AC291">
        <v>149.30000000000001</v>
      </c>
      <c r="AD291">
        <v>156.5</v>
      </c>
    </row>
    <row r="292" spans="1:30" x14ac:dyDescent="0.25">
      <c r="A292" t="s">
        <v>34</v>
      </c>
      <c r="B292">
        <v>2021</v>
      </c>
      <c r="C292" t="s">
        <v>35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>
        <v>157.19999999999999</v>
      </c>
      <c r="S292">
        <v>147.4</v>
      </c>
      <c r="T292">
        <v>155.80000000000001</v>
      </c>
      <c r="U292">
        <v>159.80000000000001</v>
      </c>
      <c r="V292">
        <v>152.4</v>
      </c>
      <c r="W292">
        <v>150.9</v>
      </c>
      <c r="X292">
        <v>161.30000000000001</v>
      </c>
      <c r="Y292">
        <v>145.1</v>
      </c>
      <c r="Z292">
        <v>151.5</v>
      </c>
      <c r="AA292">
        <v>159.5</v>
      </c>
      <c r="AB292">
        <v>155.80000000000001</v>
      </c>
      <c r="AC292">
        <v>153.4</v>
      </c>
      <c r="AD292">
        <v>156.6</v>
      </c>
    </row>
    <row r="293" spans="1:30" x14ac:dyDescent="0.25">
      <c r="A293" t="s">
        <v>30</v>
      </c>
      <c r="B293">
        <v>2021</v>
      </c>
      <c r="C293" t="s">
        <v>36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>
        <v>159.6</v>
      </c>
      <c r="S293">
        <v>154.4</v>
      </c>
      <c r="T293">
        <v>158.9</v>
      </c>
      <c r="U293" t="s">
        <v>48</v>
      </c>
      <c r="V293">
        <v>156</v>
      </c>
      <c r="W293">
        <v>154.80000000000001</v>
      </c>
      <c r="X293">
        <v>164.6</v>
      </c>
      <c r="Y293">
        <v>151.30000000000001</v>
      </c>
      <c r="Z293">
        <v>157.80000000000001</v>
      </c>
      <c r="AA293">
        <v>163.80000000000001</v>
      </c>
      <c r="AB293">
        <v>153.1</v>
      </c>
      <c r="AC293">
        <v>157.30000000000001</v>
      </c>
      <c r="AD293">
        <v>156.69999999999999</v>
      </c>
    </row>
    <row r="294" spans="1:30" x14ac:dyDescent="0.25">
      <c r="A294" t="s">
        <v>33</v>
      </c>
      <c r="B294">
        <v>2021</v>
      </c>
      <c r="C294" t="s">
        <v>36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>
        <v>155.1</v>
      </c>
      <c r="S294">
        <v>138.69999999999999</v>
      </c>
      <c r="T294">
        <v>152.6</v>
      </c>
      <c r="U294">
        <v>159.9</v>
      </c>
      <c r="V294">
        <v>154.80000000000001</v>
      </c>
      <c r="W294">
        <v>147.19999999999999</v>
      </c>
      <c r="X294">
        <v>156.9</v>
      </c>
      <c r="Y294">
        <v>141.69999999999999</v>
      </c>
      <c r="Z294">
        <v>148.6</v>
      </c>
      <c r="AA294">
        <v>157.6</v>
      </c>
      <c r="AB294">
        <v>154.9</v>
      </c>
      <c r="AC294">
        <v>150</v>
      </c>
      <c r="AD294">
        <v>156.9</v>
      </c>
    </row>
    <row r="295" spans="1:30" x14ac:dyDescent="0.25">
      <c r="A295" t="s">
        <v>34</v>
      </c>
      <c r="B295">
        <v>2021</v>
      </c>
      <c r="C295" t="s">
        <v>36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>
        <v>157.80000000000001</v>
      </c>
      <c r="S295">
        <v>147.9</v>
      </c>
      <c r="T295">
        <v>156.4</v>
      </c>
      <c r="U295">
        <v>159.9</v>
      </c>
      <c r="V295">
        <v>155.5</v>
      </c>
      <c r="W295">
        <v>151.19999999999999</v>
      </c>
      <c r="X295">
        <v>161.69999999999999</v>
      </c>
      <c r="Y295">
        <v>146.19999999999999</v>
      </c>
      <c r="Z295">
        <v>152.6</v>
      </c>
      <c r="AA295">
        <v>160.19999999999999</v>
      </c>
      <c r="AB295">
        <v>153.80000000000001</v>
      </c>
      <c r="AC295">
        <v>153.80000000000001</v>
      </c>
      <c r="AD295">
        <v>156.80000000000001</v>
      </c>
    </row>
    <row r="296" spans="1:30" x14ac:dyDescent="0.25">
      <c r="A296" t="s">
        <v>30</v>
      </c>
      <c r="B296">
        <v>2021</v>
      </c>
      <c r="C296" t="s">
        <v>37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>
        <v>160.69999999999999</v>
      </c>
      <c r="S296">
        <v>155.1</v>
      </c>
      <c r="T296">
        <v>159.9</v>
      </c>
      <c r="U296" t="s">
        <v>48</v>
      </c>
      <c r="V296">
        <v>156</v>
      </c>
      <c r="W296">
        <v>155.5</v>
      </c>
      <c r="X296">
        <v>165.3</v>
      </c>
      <c r="Y296">
        <v>151.69999999999999</v>
      </c>
      <c r="Z296">
        <v>158.6</v>
      </c>
      <c r="AA296">
        <v>164.1</v>
      </c>
      <c r="AB296">
        <v>154.6</v>
      </c>
      <c r="AC296">
        <v>158</v>
      </c>
      <c r="AD296">
        <v>157.6</v>
      </c>
    </row>
    <row r="297" spans="1:30" x14ac:dyDescent="0.25">
      <c r="A297" t="s">
        <v>33</v>
      </c>
      <c r="B297">
        <v>2021</v>
      </c>
      <c r="C297" t="s">
        <v>37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>
        <v>155.9</v>
      </c>
      <c r="S297">
        <v>139.30000000000001</v>
      </c>
      <c r="T297">
        <v>153.4</v>
      </c>
      <c r="U297">
        <v>161.4</v>
      </c>
      <c r="V297">
        <v>154.9</v>
      </c>
      <c r="W297">
        <v>147.6</v>
      </c>
      <c r="X297">
        <v>157.5</v>
      </c>
      <c r="Y297">
        <v>142.1</v>
      </c>
      <c r="Z297">
        <v>149.1</v>
      </c>
      <c r="AA297">
        <v>157.6</v>
      </c>
      <c r="AB297">
        <v>156.6</v>
      </c>
      <c r="AC297">
        <v>150.5</v>
      </c>
      <c r="AD297">
        <v>158</v>
      </c>
    </row>
    <row r="298" spans="1:30" x14ac:dyDescent="0.25">
      <c r="A298" t="s">
        <v>34</v>
      </c>
      <c r="B298">
        <v>2021</v>
      </c>
      <c r="C298" t="s">
        <v>37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>
        <v>158.80000000000001</v>
      </c>
      <c r="S298">
        <v>148.5</v>
      </c>
      <c r="T298">
        <v>157.30000000000001</v>
      </c>
      <c r="U298">
        <v>161.4</v>
      </c>
      <c r="V298">
        <v>155.6</v>
      </c>
      <c r="W298">
        <v>151.80000000000001</v>
      </c>
      <c r="X298">
        <v>162.30000000000001</v>
      </c>
      <c r="Y298">
        <v>146.6</v>
      </c>
      <c r="Z298">
        <v>153.19999999999999</v>
      </c>
      <c r="AA298">
        <v>160.30000000000001</v>
      </c>
      <c r="AB298">
        <v>155.4</v>
      </c>
      <c r="AC298">
        <v>154.4</v>
      </c>
      <c r="AD298">
        <v>157.80000000000001</v>
      </c>
    </row>
    <row r="299" spans="1:30" x14ac:dyDescent="0.25">
      <c r="A299" t="s">
        <v>30</v>
      </c>
      <c r="B299">
        <v>2021</v>
      </c>
      <c r="C299" t="s">
        <v>38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>
        <v>165.3</v>
      </c>
      <c r="S299">
        <v>160.6</v>
      </c>
      <c r="T299">
        <v>164.5</v>
      </c>
      <c r="U299" t="s">
        <v>32</v>
      </c>
      <c r="V299">
        <v>161.69999999999999</v>
      </c>
      <c r="W299">
        <v>158.80000000000001</v>
      </c>
      <c r="X299">
        <v>169.1</v>
      </c>
      <c r="Y299">
        <v>153.19999999999999</v>
      </c>
      <c r="Z299">
        <v>160</v>
      </c>
      <c r="AA299">
        <v>167.6</v>
      </c>
      <c r="AB299">
        <v>159.30000000000001</v>
      </c>
      <c r="AC299">
        <v>161.1</v>
      </c>
      <c r="AD299">
        <v>161.1</v>
      </c>
    </row>
    <row r="300" spans="1:30" x14ac:dyDescent="0.25">
      <c r="A300" t="s">
        <v>33</v>
      </c>
      <c r="B300">
        <v>2021</v>
      </c>
      <c r="C300" t="s">
        <v>38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>
        <v>156.5</v>
      </c>
      <c r="S300">
        <v>140.19999999999999</v>
      </c>
      <c r="T300">
        <v>154.1</v>
      </c>
      <c r="U300">
        <v>161.6</v>
      </c>
      <c r="V300">
        <v>155.5</v>
      </c>
      <c r="W300">
        <v>150.1</v>
      </c>
      <c r="X300">
        <v>160.4</v>
      </c>
      <c r="Y300">
        <v>145</v>
      </c>
      <c r="Z300">
        <v>152.6</v>
      </c>
      <c r="AA300">
        <v>156.6</v>
      </c>
      <c r="AB300">
        <v>157.5</v>
      </c>
      <c r="AC300">
        <v>152.30000000000001</v>
      </c>
      <c r="AD300">
        <v>159.5</v>
      </c>
    </row>
    <row r="301" spans="1:30" x14ac:dyDescent="0.25">
      <c r="A301" t="s">
        <v>34</v>
      </c>
      <c r="B301">
        <v>2021</v>
      </c>
      <c r="C301" t="s">
        <v>38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>
        <v>161.80000000000001</v>
      </c>
      <c r="S301">
        <v>152.1</v>
      </c>
      <c r="T301">
        <v>160.4</v>
      </c>
      <c r="U301">
        <v>161.6</v>
      </c>
      <c r="V301">
        <v>159.4</v>
      </c>
      <c r="W301">
        <v>154.69999999999999</v>
      </c>
      <c r="X301">
        <v>165.8</v>
      </c>
      <c r="Y301">
        <v>148.9</v>
      </c>
      <c r="Z301">
        <v>155.80000000000001</v>
      </c>
      <c r="AA301">
        <v>161.19999999999999</v>
      </c>
      <c r="AB301">
        <v>158.6</v>
      </c>
      <c r="AC301">
        <v>156.80000000000001</v>
      </c>
      <c r="AD301">
        <v>160.4</v>
      </c>
    </row>
    <row r="302" spans="1:30" x14ac:dyDescent="0.25">
      <c r="A302" t="s">
        <v>30</v>
      </c>
      <c r="B302">
        <v>2021</v>
      </c>
      <c r="C302" t="s">
        <v>39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>
        <v>165.3</v>
      </c>
      <c r="S302">
        <v>159.9</v>
      </c>
      <c r="T302">
        <v>164.6</v>
      </c>
      <c r="U302" t="s">
        <v>32</v>
      </c>
      <c r="V302">
        <v>162.1</v>
      </c>
      <c r="W302">
        <v>159.19999999999999</v>
      </c>
      <c r="X302">
        <v>169.7</v>
      </c>
      <c r="Y302">
        <v>154.19999999999999</v>
      </c>
      <c r="Z302">
        <v>160.4</v>
      </c>
      <c r="AA302">
        <v>166.8</v>
      </c>
      <c r="AB302">
        <v>159.4</v>
      </c>
      <c r="AC302">
        <v>161.5</v>
      </c>
      <c r="AD302">
        <v>162.1</v>
      </c>
    </row>
    <row r="303" spans="1:30" x14ac:dyDescent="0.25">
      <c r="A303" t="s">
        <v>33</v>
      </c>
      <c r="B303">
        <v>2021</v>
      </c>
      <c r="C303" t="s">
        <v>39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>
        <v>157.30000000000001</v>
      </c>
      <c r="S303">
        <v>140.5</v>
      </c>
      <c r="T303">
        <v>154.80000000000001</v>
      </c>
      <c r="U303">
        <v>160.5</v>
      </c>
      <c r="V303">
        <v>156.1</v>
      </c>
      <c r="W303">
        <v>149.80000000000001</v>
      </c>
      <c r="X303">
        <v>160.80000000000001</v>
      </c>
      <c r="Y303">
        <v>147.5</v>
      </c>
      <c r="Z303">
        <v>150.69999999999999</v>
      </c>
      <c r="AA303">
        <v>158.1</v>
      </c>
      <c r="AB303">
        <v>158</v>
      </c>
      <c r="AC303">
        <v>153.4</v>
      </c>
      <c r="AD303">
        <v>160.4</v>
      </c>
    </row>
    <row r="304" spans="1:30" x14ac:dyDescent="0.25">
      <c r="A304" t="s">
        <v>34</v>
      </c>
      <c r="B304">
        <v>2021</v>
      </c>
      <c r="C304" t="s">
        <v>39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>
        <v>162.19999999999999</v>
      </c>
      <c r="S304">
        <v>151.80000000000001</v>
      </c>
      <c r="T304">
        <v>160.69999999999999</v>
      </c>
      <c r="U304">
        <v>160.5</v>
      </c>
      <c r="V304">
        <v>159.80000000000001</v>
      </c>
      <c r="W304">
        <v>154.80000000000001</v>
      </c>
      <c r="X304">
        <v>166.3</v>
      </c>
      <c r="Y304">
        <v>150.69999999999999</v>
      </c>
      <c r="Z304">
        <v>154.9</v>
      </c>
      <c r="AA304">
        <v>161.69999999999999</v>
      </c>
      <c r="AB304">
        <v>158.80000000000001</v>
      </c>
      <c r="AC304">
        <v>157.6</v>
      </c>
      <c r="AD304">
        <v>161.30000000000001</v>
      </c>
    </row>
    <row r="305" spans="1:30" x14ac:dyDescent="0.25">
      <c r="A305" t="s">
        <v>30</v>
      </c>
      <c r="B305">
        <v>2021</v>
      </c>
      <c r="C305" t="s">
        <v>40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>
        <v>166</v>
      </c>
      <c r="S305">
        <v>161.1</v>
      </c>
      <c r="T305">
        <v>165.3</v>
      </c>
      <c r="U305" t="s">
        <v>32</v>
      </c>
      <c r="V305">
        <v>162.5</v>
      </c>
      <c r="W305">
        <v>160.30000000000001</v>
      </c>
      <c r="X305">
        <v>170.4</v>
      </c>
      <c r="Y305">
        <v>157.1</v>
      </c>
      <c r="Z305">
        <v>160.69999999999999</v>
      </c>
      <c r="AA305">
        <v>167.2</v>
      </c>
      <c r="AB305">
        <v>160.4</v>
      </c>
      <c r="AC305">
        <v>162.80000000000001</v>
      </c>
      <c r="AD305">
        <v>163.19999999999999</v>
      </c>
    </row>
    <row r="306" spans="1:30" x14ac:dyDescent="0.25">
      <c r="A306" t="s">
        <v>33</v>
      </c>
      <c r="B306">
        <v>2021</v>
      </c>
      <c r="C306" t="s">
        <v>40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>
        <v>157.9</v>
      </c>
      <c r="S306">
        <v>141.9</v>
      </c>
      <c r="T306">
        <v>155.5</v>
      </c>
      <c r="U306">
        <v>161.5</v>
      </c>
      <c r="V306">
        <v>157.69999999999999</v>
      </c>
      <c r="W306">
        <v>150.69999999999999</v>
      </c>
      <c r="X306">
        <v>161.5</v>
      </c>
      <c r="Y306">
        <v>149.5</v>
      </c>
      <c r="Z306">
        <v>151.19999999999999</v>
      </c>
      <c r="AA306">
        <v>160.30000000000001</v>
      </c>
      <c r="AB306">
        <v>159.6</v>
      </c>
      <c r="AC306">
        <v>155</v>
      </c>
      <c r="AD306">
        <v>161.80000000000001</v>
      </c>
    </row>
    <row r="307" spans="1:30" x14ac:dyDescent="0.25">
      <c r="A307" t="s">
        <v>34</v>
      </c>
      <c r="B307">
        <v>2021</v>
      </c>
      <c r="C307" t="s">
        <v>40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>
        <v>162.80000000000001</v>
      </c>
      <c r="S307">
        <v>153.1</v>
      </c>
      <c r="T307">
        <v>161.4</v>
      </c>
      <c r="U307">
        <v>161.5</v>
      </c>
      <c r="V307">
        <v>160.69999999999999</v>
      </c>
      <c r="W307">
        <v>155.80000000000001</v>
      </c>
      <c r="X307">
        <v>167</v>
      </c>
      <c r="Y307">
        <v>153.1</v>
      </c>
      <c r="Z307">
        <v>155.30000000000001</v>
      </c>
      <c r="AA307">
        <v>163.19999999999999</v>
      </c>
      <c r="AB307">
        <v>160.1</v>
      </c>
      <c r="AC307">
        <v>159</v>
      </c>
      <c r="AD307">
        <v>162.5</v>
      </c>
    </row>
    <row r="308" spans="1:30" x14ac:dyDescent="0.25">
      <c r="A308" t="s">
        <v>30</v>
      </c>
      <c r="B308">
        <v>2021</v>
      </c>
      <c r="C308" t="s">
        <v>41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>
        <v>167</v>
      </c>
      <c r="S308">
        <v>162.6</v>
      </c>
      <c r="T308">
        <v>166.3</v>
      </c>
      <c r="U308" t="s">
        <v>32</v>
      </c>
      <c r="V308">
        <v>163.1</v>
      </c>
      <c r="W308">
        <v>160.9</v>
      </c>
      <c r="X308">
        <v>171.1</v>
      </c>
      <c r="Y308">
        <v>157.69999999999999</v>
      </c>
      <c r="Z308">
        <v>161.1</v>
      </c>
      <c r="AA308">
        <v>167.5</v>
      </c>
      <c r="AB308">
        <v>160.30000000000001</v>
      </c>
      <c r="AC308">
        <v>163.30000000000001</v>
      </c>
      <c r="AD308">
        <v>163.6</v>
      </c>
    </row>
    <row r="309" spans="1:30" x14ac:dyDescent="0.25">
      <c r="A309" t="s">
        <v>33</v>
      </c>
      <c r="B309">
        <v>2021</v>
      </c>
      <c r="C309" t="s">
        <v>41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>
        <v>159.80000000000001</v>
      </c>
      <c r="S309">
        <v>143.6</v>
      </c>
      <c r="T309">
        <v>157.30000000000001</v>
      </c>
      <c r="U309">
        <v>162.1</v>
      </c>
      <c r="V309">
        <v>160.69999999999999</v>
      </c>
      <c r="W309">
        <v>153.19999999999999</v>
      </c>
      <c r="X309">
        <v>162.80000000000001</v>
      </c>
      <c r="Y309">
        <v>150.4</v>
      </c>
      <c r="Z309">
        <v>153.69999999999999</v>
      </c>
      <c r="AA309">
        <v>160.4</v>
      </c>
      <c r="AB309">
        <v>159.6</v>
      </c>
      <c r="AC309">
        <v>156</v>
      </c>
      <c r="AD309">
        <v>162.30000000000001</v>
      </c>
    </row>
    <row r="310" spans="1:30" x14ac:dyDescent="0.25">
      <c r="A310" t="s">
        <v>34</v>
      </c>
      <c r="B310">
        <v>2021</v>
      </c>
      <c r="C310" t="s">
        <v>41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>
        <v>164.5</v>
      </c>
      <c r="S310">
        <v>155.30000000000001</v>
      </c>
      <c r="T310">
        <v>163.19999999999999</v>
      </c>
      <c r="U310">
        <v>162.1</v>
      </c>
      <c r="V310">
        <v>162.6</v>
      </c>
      <c r="W310">
        <v>157.5</v>
      </c>
      <c r="X310">
        <v>168.4</v>
      </c>
      <c r="Y310">
        <v>154</v>
      </c>
      <c r="Z310">
        <v>157.6</v>
      </c>
      <c r="AA310">
        <v>163.80000000000001</v>
      </c>
      <c r="AB310">
        <v>160</v>
      </c>
      <c r="AC310">
        <v>160</v>
      </c>
      <c r="AD310">
        <v>163.19999999999999</v>
      </c>
    </row>
    <row r="311" spans="1:30" x14ac:dyDescent="0.25">
      <c r="A311" t="s">
        <v>30</v>
      </c>
      <c r="B311">
        <v>2021</v>
      </c>
      <c r="C311" t="s">
        <v>42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>
        <v>167.7</v>
      </c>
      <c r="S311">
        <v>163.6</v>
      </c>
      <c r="T311">
        <v>167.1</v>
      </c>
      <c r="U311" t="s">
        <v>32</v>
      </c>
      <c r="V311">
        <v>163.69999999999999</v>
      </c>
      <c r="W311">
        <v>161.30000000000001</v>
      </c>
      <c r="X311">
        <v>171.9</v>
      </c>
      <c r="Y311">
        <v>157.80000000000001</v>
      </c>
      <c r="Z311">
        <v>162.69999999999999</v>
      </c>
      <c r="AA311">
        <v>168.5</v>
      </c>
      <c r="AB311">
        <v>160.19999999999999</v>
      </c>
      <c r="AC311">
        <v>163.80000000000001</v>
      </c>
      <c r="AD311">
        <v>164</v>
      </c>
    </row>
    <row r="312" spans="1:30" x14ac:dyDescent="0.25">
      <c r="A312" t="s">
        <v>33</v>
      </c>
      <c r="B312">
        <v>2021</v>
      </c>
      <c r="C312" t="s">
        <v>42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>
        <v>159.80000000000001</v>
      </c>
      <c r="S312">
        <v>143.6</v>
      </c>
      <c r="T312">
        <v>157.4</v>
      </c>
      <c r="U312">
        <v>162.1</v>
      </c>
      <c r="V312">
        <v>160.80000000000001</v>
      </c>
      <c r="W312">
        <v>153.30000000000001</v>
      </c>
      <c r="X312">
        <v>162.80000000000001</v>
      </c>
      <c r="Y312">
        <v>150.5</v>
      </c>
      <c r="Z312">
        <v>153.9</v>
      </c>
      <c r="AA312">
        <v>160.30000000000001</v>
      </c>
      <c r="AB312">
        <v>159.6</v>
      </c>
      <c r="AC312">
        <v>156</v>
      </c>
      <c r="AD312">
        <v>162.30000000000001</v>
      </c>
    </row>
    <row r="313" spans="1:30" x14ac:dyDescent="0.25">
      <c r="A313" t="s">
        <v>34</v>
      </c>
      <c r="B313">
        <v>2021</v>
      </c>
      <c r="C313" t="s">
        <v>42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>
        <v>164.6</v>
      </c>
      <c r="S313">
        <v>155.30000000000001</v>
      </c>
      <c r="T313">
        <v>163.30000000000001</v>
      </c>
      <c r="U313">
        <v>162.1</v>
      </c>
      <c r="V313">
        <v>162.6</v>
      </c>
      <c r="W313">
        <v>157.5</v>
      </c>
      <c r="X313">
        <v>168.4</v>
      </c>
      <c r="Y313">
        <v>154</v>
      </c>
      <c r="Z313">
        <v>157.69999999999999</v>
      </c>
      <c r="AA313">
        <v>163.69999999999999</v>
      </c>
      <c r="AB313">
        <v>160</v>
      </c>
      <c r="AC313">
        <v>160</v>
      </c>
      <c r="AD313">
        <v>163.19999999999999</v>
      </c>
    </row>
    <row r="314" spans="1:30" x14ac:dyDescent="0.25">
      <c r="A314" t="s">
        <v>30</v>
      </c>
      <c r="B314">
        <v>2021</v>
      </c>
      <c r="C314" t="s">
        <v>43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>
        <v>168.9</v>
      </c>
      <c r="S314">
        <v>164.8</v>
      </c>
      <c r="T314">
        <v>168.3</v>
      </c>
      <c r="U314" t="s">
        <v>32</v>
      </c>
      <c r="V314">
        <v>165.5</v>
      </c>
      <c r="W314">
        <v>162</v>
      </c>
      <c r="X314">
        <v>172.5</v>
      </c>
      <c r="Y314">
        <v>159.5</v>
      </c>
      <c r="Z314">
        <v>163.19999999999999</v>
      </c>
      <c r="AA314">
        <v>169</v>
      </c>
      <c r="AB314">
        <v>161.1</v>
      </c>
      <c r="AC314">
        <v>164.7</v>
      </c>
      <c r="AD314">
        <v>166.3</v>
      </c>
    </row>
    <row r="315" spans="1:30" x14ac:dyDescent="0.25">
      <c r="A315" t="s">
        <v>33</v>
      </c>
      <c r="B315">
        <v>2021</v>
      </c>
      <c r="C315" t="s">
        <v>43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>
        <v>160.80000000000001</v>
      </c>
      <c r="S315">
        <v>144.4</v>
      </c>
      <c r="T315">
        <v>158.30000000000001</v>
      </c>
      <c r="U315">
        <v>163.6</v>
      </c>
      <c r="V315">
        <v>162.19999999999999</v>
      </c>
      <c r="W315">
        <v>154.30000000000001</v>
      </c>
      <c r="X315">
        <v>163.5</v>
      </c>
      <c r="Y315">
        <v>152.19999999999999</v>
      </c>
      <c r="Z315">
        <v>155.1</v>
      </c>
      <c r="AA315">
        <v>160.30000000000001</v>
      </c>
      <c r="AB315">
        <v>160.30000000000001</v>
      </c>
      <c r="AC315">
        <v>157</v>
      </c>
      <c r="AD315">
        <v>164.6</v>
      </c>
    </row>
    <row r="316" spans="1:30" x14ac:dyDescent="0.25">
      <c r="A316" t="s">
        <v>34</v>
      </c>
      <c r="B316">
        <v>2021</v>
      </c>
      <c r="C316" t="s">
        <v>43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>
        <v>165.7</v>
      </c>
      <c r="S316">
        <v>156.30000000000001</v>
      </c>
      <c r="T316">
        <v>164.3</v>
      </c>
      <c r="U316">
        <v>163.6</v>
      </c>
      <c r="V316">
        <v>164.2</v>
      </c>
      <c r="W316">
        <v>158.4</v>
      </c>
      <c r="X316">
        <v>169.1</v>
      </c>
      <c r="Y316">
        <v>155.69999999999999</v>
      </c>
      <c r="Z316">
        <v>158.6</v>
      </c>
      <c r="AA316">
        <v>163.9</v>
      </c>
      <c r="AB316">
        <v>160.80000000000001</v>
      </c>
      <c r="AC316">
        <v>161</v>
      </c>
      <c r="AD316">
        <v>165.5</v>
      </c>
    </row>
    <row r="317" spans="1:30" x14ac:dyDescent="0.25">
      <c r="A317" t="s">
        <v>30</v>
      </c>
      <c r="B317">
        <v>2021</v>
      </c>
      <c r="C317" t="s">
        <v>45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>
        <v>170.4</v>
      </c>
      <c r="S317">
        <v>166</v>
      </c>
      <c r="T317">
        <v>169.8</v>
      </c>
      <c r="U317" t="s">
        <v>32</v>
      </c>
      <c r="V317">
        <v>165.3</v>
      </c>
      <c r="W317">
        <v>162.9</v>
      </c>
      <c r="X317">
        <v>173.4</v>
      </c>
      <c r="Y317">
        <v>158.9</v>
      </c>
      <c r="Z317">
        <v>163.80000000000001</v>
      </c>
      <c r="AA317">
        <v>169.3</v>
      </c>
      <c r="AB317">
        <v>162.4</v>
      </c>
      <c r="AC317">
        <v>165.2</v>
      </c>
      <c r="AD317">
        <v>167.6</v>
      </c>
    </row>
    <row r="318" spans="1:30" x14ac:dyDescent="0.25">
      <c r="A318" t="s">
        <v>33</v>
      </c>
      <c r="B318">
        <v>2021</v>
      </c>
      <c r="C318" t="s">
        <v>45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>
        <v>162.30000000000001</v>
      </c>
      <c r="S318">
        <v>145.30000000000001</v>
      </c>
      <c r="T318">
        <v>159.69999999999999</v>
      </c>
      <c r="U318">
        <v>164.2</v>
      </c>
      <c r="V318">
        <v>161.6</v>
      </c>
      <c r="W318">
        <v>155.19999999999999</v>
      </c>
      <c r="X318">
        <v>164.2</v>
      </c>
      <c r="Y318">
        <v>151.19999999999999</v>
      </c>
      <c r="Z318">
        <v>156.69999999999999</v>
      </c>
      <c r="AA318">
        <v>160.80000000000001</v>
      </c>
      <c r="AB318">
        <v>161.80000000000001</v>
      </c>
      <c r="AC318">
        <v>157.30000000000001</v>
      </c>
      <c r="AD318">
        <v>165.6</v>
      </c>
    </row>
    <row r="319" spans="1:30" x14ac:dyDescent="0.25">
      <c r="A319" t="s">
        <v>34</v>
      </c>
      <c r="B319">
        <v>2021</v>
      </c>
      <c r="C319" t="s">
        <v>45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>
        <v>167.2</v>
      </c>
      <c r="S319">
        <v>157.4</v>
      </c>
      <c r="T319">
        <v>165.8</v>
      </c>
      <c r="U319">
        <v>164.2</v>
      </c>
      <c r="V319">
        <v>163.9</v>
      </c>
      <c r="W319">
        <v>159.30000000000001</v>
      </c>
      <c r="X319">
        <v>169.9</v>
      </c>
      <c r="Y319">
        <v>154.80000000000001</v>
      </c>
      <c r="Z319">
        <v>159.80000000000001</v>
      </c>
      <c r="AA319">
        <v>164.3</v>
      </c>
      <c r="AB319">
        <v>162.19999999999999</v>
      </c>
      <c r="AC319">
        <v>161.4</v>
      </c>
      <c r="AD319">
        <v>166.7</v>
      </c>
    </row>
    <row r="320" spans="1:30" x14ac:dyDescent="0.25">
      <c r="A320" t="s">
        <v>30</v>
      </c>
      <c r="B320">
        <v>2021</v>
      </c>
      <c r="C320" t="s">
        <v>46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>
        <v>171.8</v>
      </c>
      <c r="S320">
        <v>167.3</v>
      </c>
      <c r="T320">
        <v>171.2</v>
      </c>
      <c r="U320" t="s">
        <v>32</v>
      </c>
      <c r="V320">
        <v>165.6</v>
      </c>
      <c r="W320">
        <v>163.9</v>
      </c>
      <c r="X320">
        <v>174</v>
      </c>
      <c r="Y320">
        <v>160.1</v>
      </c>
      <c r="Z320">
        <v>164.5</v>
      </c>
      <c r="AA320">
        <v>169.7</v>
      </c>
      <c r="AB320">
        <v>162.80000000000001</v>
      </c>
      <c r="AC320">
        <v>166</v>
      </c>
      <c r="AD320">
        <v>167</v>
      </c>
    </row>
    <row r="321" spans="1:30" x14ac:dyDescent="0.25">
      <c r="A321" t="s">
        <v>33</v>
      </c>
      <c r="B321">
        <v>2021</v>
      </c>
      <c r="C321" t="s">
        <v>46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>
        <v>163.30000000000001</v>
      </c>
      <c r="S321">
        <v>146.69999999999999</v>
      </c>
      <c r="T321">
        <v>160.69999999999999</v>
      </c>
      <c r="U321">
        <v>163.4</v>
      </c>
      <c r="V321">
        <v>161.69999999999999</v>
      </c>
      <c r="W321">
        <v>156</v>
      </c>
      <c r="X321">
        <v>165.1</v>
      </c>
      <c r="Y321">
        <v>151.80000000000001</v>
      </c>
      <c r="Z321">
        <v>157.6</v>
      </c>
      <c r="AA321">
        <v>160.6</v>
      </c>
      <c r="AB321">
        <v>162.4</v>
      </c>
      <c r="AC321">
        <v>157.80000000000001</v>
      </c>
      <c r="AD321">
        <v>165.2</v>
      </c>
    </row>
    <row r="322" spans="1:30" x14ac:dyDescent="0.25">
      <c r="A322" t="s">
        <v>34</v>
      </c>
      <c r="B322">
        <v>2021</v>
      </c>
      <c r="C322" t="s">
        <v>46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>
        <v>168.5</v>
      </c>
      <c r="S322">
        <v>158.69999999999999</v>
      </c>
      <c r="T322">
        <v>167</v>
      </c>
      <c r="U322">
        <v>163.4</v>
      </c>
      <c r="V322">
        <v>164.1</v>
      </c>
      <c r="W322">
        <v>160.19999999999999</v>
      </c>
      <c r="X322">
        <v>170.6</v>
      </c>
      <c r="Y322">
        <v>155.69999999999999</v>
      </c>
      <c r="Z322">
        <v>160.6</v>
      </c>
      <c r="AA322">
        <v>164.4</v>
      </c>
      <c r="AB322">
        <v>162.6</v>
      </c>
      <c r="AC322">
        <v>162</v>
      </c>
      <c r="AD322">
        <v>166.2</v>
      </c>
    </row>
    <row r="323" spans="1:30" x14ac:dyDescent="0.25">
      <c r="A323" t="s">
        <v>30</v>
      </c>
      <c r="B323">
        <v>2022</v>
      </c>
      <c r="C323" t="s">
        <v>31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>
        <v>173.2</v>
      </c>
      <c r="S323">
        <v>169.3</v>
      </c>
      <c r="T323">
        <v>172.7</v>
      </c>
      <c r="U323" t="s">
        <v>32</v>
      </c>
      <c r="V323">
        <v>165.8</v>
      </c>
      <c r="W323">
        <v>164.9</v>
      </c>
      <c r="X323">
        <v>174.7</v>
      </c>
      <c r="Y323">
        <v>160.80000000000001</v>
      </c>
      <c r="Z323">
        <v>164.9</v>
      </c>
      <c r="AA323">
        <v>169.9</v>
      </c>
      <c r="AB323">
        <v>163.19999999999999</v>
      </c>
      <c r="AC323">
        <v>166.6</v>
      </c>
      <c r="AD323">
        <v>166.4</v>
      </c>
    </row>
    <row r="324" spans="1:30" x14ac:dyDescent="0.25">
      <c r="A324" t="s">
        <v>33</v>
      </c>
      <c r="B324">
        <v>2022</v>
      </c>
      <c r="C324" t="s">
        <v>31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>
        <v>164.7</v>
      </c>
      <c r="S324">
        <v>148.5</v>
      </c>
      <c r="T324">
        <v>162.19999999999999</v>
      </c>
      <c r="U324">
        <v>164.5</v>
      </c>
      <c r="V324">
        <v>161.6</v>
      </c>
      <c r="W324">
        <v>156.80000000000001</v>
      </c>
      <c r="X324">
        <v>166.1</v>
      </c>
      <c r="Y324">
        <v>152.69999999999999</v>
      </c>
      <c r="Z324">
        <v>158.4</v>
      </c>
      <c r="AA324">
        <v>161</v>
      </c>
      <c r="AB324">
        <v>162.80000000000001</v>
      </c>
      <c r="AC324">
        <v>158.6</v>
      </c>
      <c r="AD324">
        <v>165</v>
      </c>
    </row>
    <row r="325" spans="1:30" x14ac:dyDescent="0.25">
      <c r="A325" t="s">
        <v>34</v>
      </c>
      <c r="B325">
        <v>2022</v>
      </c>
      <c r="C325" t="s">
        <v>31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>
        <v>169.9</v>
      </c>
      <c r="S325">
        <v>160.69999999999999</v>
      </c>
      <c r="T325">
        <v>168.5</v>
      </c>
      <c r="U325">
        <v>164.5</v>
      </c>
      <c r="V325">
        <v>164.2</v>
      </c>
      <c r="W325">
        <v>161.1</v>
      </c>
      <c r="X325">
        <v>171.4</v>
      </c>
      <c r="Y325">
        <v>156.5</v>
      </c>
      <c r="Z325">
        <v>161.19999999999999</v>
      </c>
      <c r="AA325">
        <v>164.7</v>
      </c>
      <c r="AB325">
        <v>163</v>
      </c>
      <c r="AC325">
        <v>162.69999999999999</v>
      </c>
      <c r="AD325">
        <v>165.7</v>
      </c>
    </row>
    <row r="326" spans="1:30" x14ac:dyDescent="0.25">
      <c r="A326" t="s">
        <v>30</v>
      </c>
      <c r="B326">
        <v>2022</v>
      </c>
      <c r="C326" t="s">
        <v>35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>
        <v>174.1</v>
      </c>
      <c r="S326">
        <v>171</v>
      </c>
      <c r="T326">
        <v>173.7</v>
      </c>
      <c r="U326" t="s">
        <v>32</v>
      </c>
      <c r="V326">
        <v>167.4</v>
      </c>
      <c r="W326">
        <v>165.7</v>
      </c>
      <c r="X326">
        <v>175.3</v>
      </c>
      <c r="Y326">
        <v>161.19999999999999</v>
      </c>
      <c r="Z326">
        <v>165.5</v>
      </c>
      <c r="AA326">
        <v>170.3</v>
      </c>
      <c r="AB326">
        <v>164.5</v>
      </c>
      <c r="AC326">
        <v>167.3</v>
      </c>
      <c r="AD326">
        <v>166.7</v>
      </c>
    </row>
    <row r="327" spans="1:30" x14ac:dyDescent="0.25">
      <c r="A327" t="s">
        <v>33</v>
      </c>
      <c r="B327">
        <v>2022</v>
      </c>
      <c r="C327" t="s">
        <v>35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>
        <v>165.7</v>
      </c>
      <c r="S327">
        <v>150.4</v>
      </c>
      <c r="T327">
        <v>163.4</v>
      </c>
      <c r="U327">
        <v>165.5</v>
      </c>
      <c r="V327">
        <v>163</v>
      </c>
      <c r="W327">
        <v>157.4</v>
      </c>
      <c r="X327">
        <v>167.2</v>
      </c>
      <c r="Y327">
        <v>153.1</v>
      </c>
      <c r="Z327">
        <v>159.5</v>
      </c>
      <c r="AA327">
        <v>162</v>
      </c>
      <c r="AB327">
        <v>164.2</v>
      </c>
      <c r="AC327">
        <v>159.4</v>
      </c>
      <c r="AD327">
        <v>165.5</v>
      </c>
    </row>
    <row r="328" spans="1:30" x14ac:dyDescent="0.25">
      <c r="A328" t="s">
        <v>34</v>
      </c>
      <c r="B328">
        <v>2022</v>
      </c>
      <c r="C328" t="s">
        <v>35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>
        <v>170.8</v>
      </c>
      <c r="S328">
        <v>162.4</v>
      </c>
      <c r="T328">
        <v>169.6</v>
      </c>
      <c r="U328">
        <v>165.5</v>
      </c>
      <c r="V328">
        <v>165.7</v>
      </c>
      <c r="W328">
        <v>161.80000000000001</v>
      </c>
      <c r="X328">
        <v>172.2</v>
      </c>
      <c r="Y328">
        <v>156.9</v>
      </c>
      <c r="Z328">
        <v>162.1</v>
      </c>
      <c r="AA328">
        <v>165.4</v>
      </c>
      <c r="AB328">
        <v>164.4</v>
      </c>
      <c r="AC328">
        <v>163.5</v>
      </c>
      <c r="AD328">
        <v>166.1</v>
      </c>
    </row>
    <row r="329" spans="1:30" x14ac:dyDescent="0.25">
      <c r="A329" t="s">
        <v>30</v>
      </c>
      <c r="B329">
        <v>2022</v>
      </c>
      <c r="C329" t="s">
        <v>36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>
        <v>175.4</v>
      </c>
      <c r="S329">
        <v>173.2</v>
      </c>
      <c r="T329">
        <v>175.1</v>
      </c>
      <c r="U329" t="s">
        <v>32</v>
      </c>
      <c r="V329">
        <v>168.9</v>
      </c>
      <c r="W329">
        <v>166.5</v>
      </c>
      <c r="X329">
        <v>176</v>
      </c>
      <c r="Y329">
        <v>162</v>
      </c>
      <c r="Z329">
        <v>166.6</v>
      </c>
      <c r="AA329">
        <v>170.6</v>
      </c>
      <c r="AB329">
        <v>167.4</v>
      </c>
      <c r="AC329">
        <v>168.3</v>
      </c>
      <c r="AD329">
        <v>168.7</v>
      </c>
    </row>
    <row r="330" spans="1:30" x14ac:dyDescent="0.25">
      <c r="A330" t="s">
        <v>33</v>
      </c>
      <c r="B330">
        <v>2022</v>
      </c>
      <c r="C330" t="s">
        <v>36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>
        <v>167.1</v>
      </c>
      <c r="S330">
        <v>152.6</v>
      </c>
      <c r="T330">
        <v>164.9</v>
      </c>
      <c r="U330">
        <v>165.3</v>
      </c>
      <c r="V330">
        <v>164.5</v>
      </c>
      <c r="W330">
        <v>158.6</v>
      </c>
      <c r="X330">
        <v>168.2</v>
      </c>
      <c r="Y330">
        <v>154.19999999999999</v>
      </c>
      <c r="Z330">
        <v>160.80000000000001</v>
      </c>
      <c r="AA330">
        <v>162.69999999999999</v>
      </c>
      <c r="AB330">
        <v>166.8</v>
      </c>
      <c r="AC330">
        <v>160.6</v>
      </c>
      <c r="AD330">
        <v>166.5</v>
      </c>
    </row>
    <row r="331" spans="1:30" x14ac:dyDescent="0.25">
      <c r="A331" t="s">
        <v>34</v>
      </c>
      <c r="B331">
        <v>2022</v>
      </c>
      <c r="C331" t="s">
        <v>36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>
        <v>172.1</v>
      </c>
      <c r="S331">
        <v>164.6</v>
      </c>
      <c r="T331">
        <v>171.1</v>
      </c>
      <c r="U331">
        <v>165.3</v>
      </c>
      <c r="V331">
        <v>167.2</v>
      </c>
      <c r="W331">
        <v>162.80000000000001</v>
      </c>
      <c r="X331">
        <v>173</v>
      </c>
      <c r="Y331">
        <v>157.9</v>
      </c>
      <c r="Z331">
        <v>163.30000000000001</v>
      </c>
      <c r="AA331">
        <v>166</v>
      </c>
      <c r="AB331">
        <v>167.2</v>
      </c>
      <c r="AC331">
        <v>164.6</v>
      </c>
      <c r="AD331">
        <v>167.7</v>
      </c>
    </row>
    <row r="332" spans="1:30" x14ac:dyDescent="0.25">
      <c r="A332" t="s">
        <v>30</v>
      </c>
      <c r="B332">
        <v>2022</v>
      </c>
      <c r="C332" t="s">
        <v>37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>
        <v>177.5</v>
      </c>
      <c r="S332">
        <v>175.1</v>
      </c>
      <c r="T332">
        <v>177.1</v>
      </c>
      <c r="U332" t="s">
        <v>32</v>
      </c>
      <c r="V332">
        <v>173.3</v>
      </c>
      <c r="W332">
        <v>167.7</v>
      </c>
      <c r="X332">
        <v>177</v>
      </c>
      <c r="Y332">
        <v>166.2</v>
      </c>
      <c r="Z332">
        <v>167.2</v>
      </c>
      <c r="AA332">
        <v>170.9</v>
      </c>
      <c r="AB332">
        <v>169</v>
      </c>
      <c r="AC332">
        <v>170.2</v>
      </c>
      <c r="AD332">
        <v>170.8</v>
      </c>
    </row>
    <row r="333" spans="1:30" x14ac:dyDescent="0.25">
      <c r="A333" t="s">
        <v>33</v>
      </c>
      <c r="B333">
        <v>2022</v>
      </c>
      <c r="C333" t="s">
        <v>37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>
        <v>168.4</v>
      </c>
      <c r="S333">
        <v>154.5</v>
      </c>
      <c r="T333">
        <v>166.3</v>
      </c>
      <c r="U333">
        <v>167</v>
      </c>
      <c r="V333">
        <v>170.5</v>
      </c>
      <c r="W333">
        <v>159.80000000000001</v>
      </c>
      <c r="X333">
        <v>169</v>
      </c>
      <c r="Y333">
        <v>159.30000000000001</v>
      </c>
      <c r="Z333">
        <v>162.19999999999999</v>
      </c>
      <c r="AA333">
        <v>164</v>
      </c>
      <c r="AB333">
        <v>168.4</v>
      </c>
      <c r="AC333">
        <v>163.1</v>
      </c>
      <c r="AD333">
        <v>169.2</v>
      </c>
    </row>
    <row r="334" spans="1:30" x14ac:dyDescent="0.25">
      <c r="A334" t="s">
        <v>34</v>
      </c>
      <c r="B334">
        <v>2022</v>
      </c>
      <c r="C334" t="s">
        <v>37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>
        <v>173.9</v>
      </c>
      <c r="S334">
        <v>166.5</v>
      </c>
      <c r="T334">
        <v>172.8</v>
      </c>
      <c r="U334">
        <v>167</v>
      </c>
      <c r="V334">
        <v>172.2</v>
      </c>
      <c r="W334">
        <v>164</v>
      </c>
      <c r="X334">
        <v>174</v>
      </c>
      <c r="Y334">
        <v>162.6</v>
      </c>
      <c r="Z334">
        <v>164.4</v>
      </c>
      <c r="AA334">
        <v>166.9</v>
      </c>
      <c r="AB334">
        <v>168.8</v>
      </c>
      <c r="AC334">
        <v>166.8</v>
      </c>
      <c r="AD334">
        <v>170.1</v>
      </c>
    </row>
    <row r="335" spans="1:30" x14ac:dyDescent="0.25">
      <c r="A335" t="s">
        <v>30</v>
      </c>
      <c r="B335">
        <v>2022</v>
      </c>
      <c r="C335" t="s">
        <v>38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>
        <v>179.3</v>
      </c>
      <c r="S335">
        <v>177.2</v>
      </c>
      <c r="T335">
        <v>179</v>
      </c>
      <c r="U335" t="s">
        <v>32</v>
      </c>
      <c r="V335">
        <v>175.3</v>
      </c>
      <c r="W335">
        <v>168.9</v>
      </c>
      <c r="X335">
        <v>177.7</v>
      </c>
      <c r="Y335">
        <v>167.1</v>
      </c>
      <c r="Z335">
        <v>167.6</v>
      </c>
      <c r="AA335">
        <v>171.8</v>
      </c>
      <c r="AB335">
        <v>168.5</v>
      </c>
      <c r="AC335">
        <v>170.9</v>
      </c>
      <c r="AD335">
        <v>172.5</v>
      </c>
    </row>
    <row r="336" spans="1:30" x14ac:dyDescent="0.25">
      <c r="A336" t="s">
        <v>33</v>
      </c>
      <c r="B336">
        <v>2022</v>
      </c>
      <c r="C336" t="s">
        <v>38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>
        <v>170</v>
      </c>
      <c r="S336">
        <v>155.9</v>
      </c>
      <c r="T336">
        <v>167.8</v>
      </c>
      <c r="U336">
        <v>167.5</v>
      </c>
      <c r="V336">
        <v>173.5</v>
      </c>
      <c r="W336">
        <v>161.1</v>
      </c>
      <c r="X336">
        <v>170.1</v>
      </c>
      <c r="Y336">
        <v>159.4</v>
      </c>
      <c r="Z336">
        <v>163.19999999999999</v>
      </c>
      <c r="AA336">
        <v>165.2</v>
      </c>
      <c r="AB336">
        <v>168.2</v>
      </c>
      <c r="AC336">
        <v>163.80000000000001</v>
      </c>
      <c r="AD336">
        <v>170.8</v>
      </c>
    </row>
    <row r="337" spans="1:30" x14ac:dyDescent="0.25">
      <c r="A337" t="s">
        <v>34</v>
      </c>
      <c r="B337">
        <v>2022</v>
      </c>
      <c r="C337" t="s">
        <v>38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>
        <v>175.6</v>
      </c>
      <c r="S337">
        <v>168.4</v>
      </c>
      <c r="T337">
        <v>174.6</v>
      </c>
      <c r="U337">
        <v>167.5</v>
      </c>
      <c r="V337">
        <v>174.6</v>
      </c>
      <c r="W337">
        <v>165.2</v>
      </c>
      <c r="X337">
        <v>174.8</v>
      </c>
      <c r="Y337">
        <v>163</v>
      </c>
      <c r="Z337">
        <v>165.1</v>
      </c>
      <c r="AA337">
        <v>167.9</v>
      </c>
      <c r="AB337">
        <v>168.4</v>
      </c>
      <c r="AC337">
        <v>167.5</v>
      </c>
      <c r="AD337">
        <v>171.7</v>
      </c>
    </row>
    <row r="338" spans="1:30" x14ac:dyDescent="0.25">
      <c r="A338" t="s">
        <v>30</v>
      </c>
      <c r="B338">
        <v>2022</v>
      </c>
      <c r="C338" t="s">
        <v>39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>
        <v>180.7</v>
      </c>
      <c r="S338">
        <v>178.7</v>
      </c>
      <c r="T338">
        <v>180.4</v>
      </c>
      <c r="U338" t="s">
        <v>32</v>
      </c>
      <c r="V338">
        <v>176.7</v>
      </c>
      <c r="W338">
        <v>170.3</v>
      </c>
      <c r="X338">
        <v>178.2</v>
      </c>
      <c r="Y338">
        <v>165.5</v>
      </c>
      <c r="Z338">
        <v>168</v>
      </c>
      <c r="AA338">
        <v>172.6</v>
      </c>
      <c r="AB338">
        <v>169.5</v>
      </c>
      <c r="AC338">
        <v>171</v>
      </c>
      <c r="AD338">
        <v>173.6</v>
      </c>
    </row>
    <row r="339" spans="1:30" x14ac:dyDescent="0.25">
      <c r="A339" t="s">
        <v>33</v>
      </c>
      <c r="B339">
        <v>2022</v>
      </c>
      <c r="C339" t="s">
        <v>39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>
        <v>171.6</v>
      </c>
      <c r="S339">
        <v>157.4</v>
      </c>
      <c r="T339">
        <v>169.4</v>
      </c>
      <c r="U339">
        <v>166.8</v>
      </c>
      <c r="V339">
        <v>174.9</v>
      </c>
      <c r="W339">
        <v>162.1</v>
      </c>
      <c r="X339">
        <v>170.9</v>
      </c>
      <c r="Y339">
        <v>157.19999999999999</v>
      </c>
      <c r="Z339">
        <v>164.1</v>
      </c>
      <c r="AA339">
        <v>166.5</v>
      </c>
      <c r="AB339">
        <v>169.2</v>
      </c>
      <c r="AC339">
        <v>163.80000000000001</v>
      </c>
      <c r="AD339">
        <v>171.4</v>
      </c>
    </row>
    <row r="340" spans="1:30" x14ac:dyDescent="0.25">
      <c r="A340" t="s">
        <v>34</v>
      </c>
      <c r="B340">
        <v>2022</v>
      </c>
      <c r="C340" t="s">
        <v>39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>
        <v>177.1</v>
      </c>
      <c r="S340">
        <v>169.9</v>
      </c>
      <c r="T340">
        <v>176</v>
      </c>
      <c r="U340">
        <v>166.8</v>
      </c>
      <c r="V340">
        <v>176</v>
      </c>
      <c r="W340">
        <v>166.4</v>
      </c>
      <c r="X340">
        <v>175.4</v>
      </c>
      <c r="Y340">
        <v>161.1</v>
      </c>
      <c r="Z340">
        <v>165.8</v>
      </c>
      <c r="AA340">
        <v>169</v>
      </c>
      <c r="AB340">
        <v>169.4</v>
      </c>
      <c r="AC340">
        <v>167.5</v>
      </c>
      <c r="AD340">
        <v>172.6</v>
      </c>
    </row>
    <row r="341" spans="1:30" x14ac:dyDescent="0.25">
      <c r="A341" t="s">
        <v>30</v>
      </c>
      <c r="B341">
        <v>2022</v>
      </c>
      <c r="C341" t="s">
        <v>40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>
        <v>182</v>
      </c>
      <c r="S341">
        <v>180.3</v>
      </c>
      <c r="T341">
        <v>181.7</v>
      </c>
      <c r="U341" t="s">
        <v>32</v>
      </c>
      <c r="V341">
        <v>179.6</v>
      </c>
      <c r="W341">
        <v>171.3</v>
      </c>
      <c r="X341">
        <v>178.8</v>
      </c>
      <c r="Y341">
        <v>166.3</v>
      </c>
      <c r="Z341">
        <v>168.6</v>
      </c>
      <c r="AA341">
        <v>174.7</v>
      </c>
      <c r="AB341">
        <v>169.7</v>
      </c>
      <c r="AC341">
        <v>171.8</v>
      </c>
      <c r="AD341">
        <v>174.3</v>
      </c>
    </row>
    <row r="342" spans="1:30" x14ac:dyDescent="0.25">
      <c r="A342" t="s">
        <v>33</v>
      </c>
      <c r="B342">
        <v>2022</v>
      </c>
      <c r="C342" t="s">
        <v>40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>
        <v>172.7</v>
      </c>
      <c r="S342">
        <v>158.69999999999999</v>
      </c>
      <c r="T342">
        <v>170.6</v>
      </c>
      <c r="U342">
        <v>167.8</v>
      </c>
      <c r="V342">
        <v>179.5</v>
      </c>
      <c r="W342">
        <v>163.1</v>
      </c>
      <c r="X342">
        <v>171.7</v>
      </c>
      <c r="Y342">
        <v>157.4</v>
      </c>
      <c r="Z342">
        <v>164.6</v>
      </c>
      <c r="AA342">
        <v>169.1</v>
      </c>
      <c r="AB342">
        <v>169.8</v>
      </c>
      <c r="AC342">
        <v>164.7</v>
      </c>
      <c r="AD342">
        <v>172.3</v>
      </c>
    </row>
    <row r="343" spans="1:30" x14ac:dyDescent="0.25">
      <c r="A343" t="s">
        <v>34</v>
      </c>
      <c r="B343">
        <v>2022</v>
      </c>
      <c r="C343" t="s">
        <v>40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>
        <v>178.3</v>
      </c>
      <c r="S343">
        <v>171.3</v>
      </c>
      <c r="T343">
        <v>177.3</v>
      </c>
      <c r="U343">
        <v>167.8</v>
      </c>
      <c r="V343">
        <v>179.6</v>
      </c>
      <c r="W343">
        <v>167.4</v>
      </c>
      <c r="X343">
        <v>176.1</v>
      </c>
      <c r="Y343">
        <v>161.6</v>
      </c>
      <c r="Z343">
        <v>166.3</v>
      </c>
      <c r="AA343">
        <v>171.4</v>
      </c>
      <c r="AB343">
        <v>169.7</v>
      </c>
      <c r="AC343">
        <v>168.4</v>
      </c>
      <c r="AD343">
        <v>173.4</v>
      </c>
    </row>
    <row r="344" spans="1:30" x14ac:dyDescent="0.25">
      <c r="A344" t="s">
        <v>30</v>
      </c>
      <c r="B344">
        <v>2022</v>
      </c>
      <c r="C344" t="s">
        <v>41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>
        <v>183.2</v>
      </c>
      <c r="S344">
        <v>181.7</v>
      </c>
      <c r="T344">
        <v>183</v>
      </c>
      <c r="U344" t="s">
        <v>32</v>
      </c>
      <c r="V344">
        <v>179.1</v>
      </c>
      <c r="W344">
        <v>172.3</v>
      </c>
      <c r="X344">
        <v>179.4</v>
      </c>
      <c r="Y344">
        <v>166.6</v>
      </c>
      <c r="Z344">
        <v>169.3</v>
      </c>
      <c r="AA344">
        <v>175.7</v>
      </c>
      <c r="AB344">
        <v>171.1</v>
      </c>
      <c r="AC344">
        <v>172.6</v>
      </c>
      <c r="AD344">
        <v>175.3</v>
      </c>
    </row>
    <row r="345" spans="1:30" x14ac:dyDescent="0.25">
      <c r="A345" t="s">
        <v>33</v>
      </c>
      <c r="B345">
        <v>2022</v>
      </c>
      <c r="C345" t="s">
        <v>41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>
        <v>173.7</v>
      </c>
      <c r="S345">
        <v>160</v>
      </c>
      <c r="T345">
        <v>171.6</v>
      </c>
      <c r="U345">
        <v>169</v>
      </c>
      <c r="V345">
        <v>178.4</v>
      </c>
      <c r="W345">
        <v>164.2</v>
      </c>
      <c r="X345">
        <v>172.6</v>
      </c>
      <c r="Y345">
        <v>157.69999999999999</v>
      </c>
      <c r="Z345">
        <v>165.1</v>
      </c>
      <c r="AA345">
        <v>169.9</v>
      </c>
      <c r="AB345">
        <v>171.4</v>
      </c>
      <c r="AC345">
        <v>165.4</v>
      </c>
      <c r="AD345">
        <v>173.1</v>
      </c>
    </row>
    <row r="346" spans="1:30" x14ac:dyDescent="0.25">
      <c r="A346" t="s">
        <v>34</v>
      </c>
      <c r="B346">
        <v>2022</v>
      </c>
      <c r="C346" t="s">
        <v>41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>
        <v>179.5</v>
      </c>
      <c r="S346">
        <v>172.7</v>
      </c>
      <c r="T346">
        <v>178.5</v>
      </c>
      <c r="U346">
        <v>169</v>
      </c>
      <c r="V346">
        <v>178.8</v>
      </c>
      <c r="W346">
        <v>168.5</v>
      </c>
      <c r="X346">
        <v>176.8</v>
      </c>
      <c r="Y346">
        <v>161.9</v>
      </c>
      <c r="Z346">
        <v>166.9</v>
      </c>
      <c r="AA346">
        <v>172.3</v>
      </c>
      <c r="AB346">
        <v>171.2</v>
      </c>
      <c r="AC346">
        <v>169.1</v>
      </c>
      <c r="AD346">
        <v>174.3</v>
      </c>
    </row>
    <row r="347" spans="1:30" x14ac:dyDescent="0.25">
      <c r="A347" t="s">
        <v>30</v>
      </c>
      <c r="B347">
        <v>2022</v>
      </c>
      <c r="C347" t="s">
        <v>42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>
        <v>184.7</v>
      </c>
      <c r="S347">
        <v>183.3</v>
      </c>
      <c r="T347">
        <v>184.5</v>
      </c>
      <c r="U347" t="s">
        <v>32</v>
      </c>
      <c r="V347">
        <v>179.7</v>
      </c>
      <c r="W347">
        <v>173.6</v>
      </c>
      <c r="X347">
        <v>180.2</v>
      </c>
      <c r="Y347">
        <v>166.9</v>
      </c>
      <c r="Z347">
        <v>170</v>
      </c>
      <c r="AA347">
        <v>176.2</v>
      </c>
      <c r="AB347">
        <v>170.8</v>
      </c>
      <c r="AC347">
        <v>173.1</v>
      </c>
      <c r="AD347">
        <v>176.4</v>
      </c>
    </row>
    <row r="348" spans="1:30" x14ac:dyDescent="0.25">
      <c r="A348" t="s">
        <v>33</v>
      </c>
      <c r="B348">
        <v>2022</v>
      </c>
      <c r="C348" t="s">
        <v>42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>
        <v>175</v>
      </c>
      <c r="S348">
        <v>161.69999999999999</v>
      </c>
      <c r="T348">
        <v>173</v>
      </c>
      <c r="U348">
        <v>169.5</v>
      </c>
      <c r="V348">
        <v>179.2</v>
      </c>
      <c r="W348">
        <v>165</v>
      </c>
      <c r="X348">
        <v>173.8</v>
      </c>
      <c r="Y348">
        <v>158.19999999999999</v>
      </c>
      <c r="Z348">
        <v>165.8</v>
      </c>
      <c r="AA348">
        <v>170.9</v>
      </c>
      <c r="AB348">
        <v>171.1</v>
      </c>
      <c r="AC348">
        <v>166.1</v>
      </c>
      <c r="AD348">
        <v>174.1</v>
      </c>
    </row>
    <row r="349" spans="1:30" x14ac:dyDescent="0.25">
      <c r="A349" t="s">
        <v>34</v>
      </c>
      <c r="B349">
        <v>2022</v>
      </c>
      <c r="C349" t="s">
        <v>42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>
        <v>180.9</v>
      </c>
      <c r="S349">
        <v>174.3</v>
      </c>
      <c r="T349">
        <v>179.9</v>
      </c>
      <c r="U349">
        <v>169.5</v>
      </c>
      <c r="V349">
        <v>179.5</v>
      </c>
      <c r="W349">
        <v>169.5</v>
      </c>
      <c r="X349">
        <v>177.8</v>
      </c>
      <c r="Y349">
        <v>162.30000000000001</v>
      </c>
      <c r="Z349">
        <v>167.6</v>
      </c>
      <c r="AA349">
        <v>173.1</v>
      </c>
      <c r="AB349">
        <v>170.9</v>
      </c>
      <c r="AC349">
        <v>169.7</v>
      </c>
      <c r="AD349">
        <v>175.3</v>
      </c>
    </row>
    <row r="350" spans="1:30" x14ac:dyDescent="0.25">
      <c r="A350" t="s">
        <v>30</v>
      </c>
      <c r="B350">
        <v>2022</v>
      </c>
      <c r="C350" t="s">
        <v>43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>
        <v>186.1</v>
      </c>
      <c r="S350">
        <v>184.4</v>
      </c>
      <c r="T350">
        <v>185.9</v>
      </c>
      <c r="U350" t="s">
        <v>32</v>
      </c>
      <c r="V350">
        <v>180.8</v>
      </c>
      <c r="W350">
        <v>174.4</v>
      </c>
      <c r="X350">
        <v>181.2</v>
      </c>
      <c r="Y350">
        <v>167.4</v>
      </c>
      <c r="Z350">
        <v>170.6</v>
      </c>
      <c r="AA350">
        <v>176.5</v>
      </c>
      <c r="AB350">
        <v>172</v>
      </c>
      <c r="AC350">
        <v>173.9</v>
      </c>
      <c r="AD350">
        <v>177.9</v>
      </c>
    </row>
    <row r="351" spans="1:30" x14ac:dyDescent="0.25">
      <c r="A351" t="s">
        <v>33</v>
      </c>
      <c r="B351">
        <v>2022</v>
      </c>
      <c r="C351" t="s">
        <v>43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>
        <v>175.5</v>
      </c>
      <c r="S351">
        <v>162.6</v>
      </c>
      <c r="T351">
        <v>173.6</v>
      </c>
      <c r="U351">
        <v>171.2</v>
      </c>
      <c r="V351">
        <v>180</v>
      </c>
      <c r="W351">
        <v>166</v>
      </c>
      <c r="X351">
        <v>174.7</v>
      </c>
      <c r="Y351">
        <v>158.80000000000001</v>
      </c>
      <c r="Z351">
        <v>166.3</v>
      </c>
      <c r="AA351">
        <v>171.2</v>
      </c>
      <c r="AB351">
        <v>172.3</v>
      </c>
      <c r="AC351">
        <v>166.8</v>
      </c>
      <c r="AD351">
        <v>175.3</v>
      </c>
    </row>
    <row r="352" spans="1:30" x14ac:dyDescent="0.25">
      <c r="A352" t="s">
        <v>34</v>
      </c>
      <c r="B352">
        <v>2022</v>
      </c>
      <c r="C352" t="s">
        <v>43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>
        <v>181.9</v>
      </c>
      <c r="S352">
        <v>175.3</v>
      </c>
      <c r="T352">
        <v>181</v>
      </c>
      <c r="U352">
        <v>171.2</v>
      </c>
      <c r="V352">
        <v>180.5</v>
      </c>
      <c r="W352">
        <v>170.4</v>
      </c>
      <c r="X352">
        <v>178.7</v>
      </c>
      <c r="Y352">
        <v>162.9</v>
      </c>
      <c r="Z352">
        <v>168.2</v>
      </c>
      <c r="AA352">
        <v>173.4</v>
      </c>
      <c r="AB352">
        <v>172.1</v>
      </c>
      <c r="AC352">
        <v>170.5</v>
      </c>
      <c r="AD352">
        <v>176.7</v>
      </c>
    </row>
    <row r="353" spans="1:30" x14ac:dyDescent="0.25">
      <c r="A353" t="s">
        <v>30</v>
      </c>
      <c r="B353">
        <v>2022</v>
      </c>
      <c r="C353" t="s">
        <v>45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>
        <v>187.2</v>
      </c>
      <c r="S353">
        <v>185.2</v>
      </c>
      <c r="T353">
        <v>186.9</v>
      </c>
      <c r="U353" t="s">
        <v>32</v>
      </c>
      <c r="V353">
        <v>181.9</v>
      </c>
      <c r="W353">
        <v>175.5</v>
      </c>
      <c r="X353">
        <v>182.3</v>
      </c>
      <c r="Y353">
        <v>167.5</v>
      </c>
      <c r="Z353">
        <v>170.8</v>
      </c>
      <c r="AA353">
        <v>176.9</v>
      </c>
      <c r="AB353">
        <v>173.4</v>
      </c>
      <c r="AC353">
        <v>174.6</v>
      </c>
      <c r="AD353">
        <v>177.8</v>
      </c>
    </row>
    <row r="354" spans="1:30" x14ac:dyDescent="0.25">
      <c r="A354" t="s">
        <v>33</v>
      </c>
      <c r="B354">
        <v>2022</v>
      </c>
      <c r="C354" t="s">
        <v>45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>
        <v>176.7</v>
      </c>
      <c r="S354">
        <v>163.5</v>
      </c>
      <c r="T354">
        <v>174.7</v>
      </c>
      <c r="U354">
        <v>171.8</v>
      </c>
      <c r="V354">
        <v>180.3</v>
      </c>
      <c r="W354">
        <v>166.9</v>
      </c>
      <c r="X354">
        <v>175.8</v>
      </c>
      <c r="Y354">
        <v>158.9</v>
      </c>
      <c r="Z354">
        <v>166.7</v>
      </c>
      <c r="AA354">
        <v>171.5</v>
      </c>
      <c r="AB354">
        <v>173.8</v>
      </c>
      <c r="AC354">
        <v>167.4</v>
      </c>
      <c r="AD354">
        <v>174.1</v>
      </c>
    </row>
    <row r="355" spans="1:30" x14ac:dyDescent="0.25">
      <c r="A355" t="s">
        <v>34</v>
      </c>
      <c r="B355">
        <v>2022</v>
      </c>
      <c r="C355" t="s">
        <v>45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>
        <v>183.1</v>
      </c>
      <c r="S355">
        <v>176.2</v>
      </c>
      <c r="T355">
        <v>182.1</v>
      </c>
      <c r="U355">
        <v>171.8</v>
      </c>
      <c r="V355">
        <v>181.3</v>
      </c>
      <c r="W355">
        <v>171.4</v>
      </c>
      <c r="X355">
        <v>179.8</v>
      </c>
      <c r="Y355">
        <v>163</v>
      </c>
      <c r="Z355">
        <v>168.5</v>
      </c>
      <c r="AA355">
        <v>173.7</v>
      </c>
      <c r="AB355">
        <v>173.6</v>
      </c>
      <c r="AC355">
        <v>171.1</v>
      </c>
      <c r="AD355">
        <v>176.5</v>
      </c>
    </row>
    <row r="356" spans="1:30" x14ac:dyDescent="0.25">
      <c r="A356" t="s">
        <v>30</v>
      </c>
      <c r="B356">
        <v>2022</v>
      </c>
      <c r="C356" t="s">
        <v>46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>
        <v>188.1</v>
      </c>
      <c r="S356">
        <v>185.9</v>
      </c>
      <c r="T356">
        <v>187.8</v>
      </c>
      <c r="U356" t="s">
        <v>32</v>
      </c>
      <c r="V356">
        <v>182.8</v>
      </c>
      <c r="W356">
        <v>176.4</v>
      </c>
      <c r="X356">
        <v>183.5</v>
      </c>
      <c r="Y356">
        <v>167.8</v>
      </c>
      <c r="Z356">
        <v>171.2</v>
      </c>
      <c r="AA356">
        <v>177.3</v>
      </c>
      <c r="AB356">
        <v>175.7</v>
      </c>
      <c r="AC356">
        <v>175.5</v>
      </c>
      <c r="AD356">
        <v>177.1</v>
      </c>
    </row>
    <row r="357" spans="1:30" x14ac:dyDescent="0.25">
      <c r="A357" t="s">
        <v>33</v>
      </c>
      <c r="B357">
        <v>2022</v>
      </c>
      <c r="C357" t="s">
        <v>46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>
        <v>177.7</v>
      </c>
      <c r="S357">
        <v>164.5</v>
      </c>
      <c r="T357">
        <v>175.7</v>
      </c>
      <c r="U357">
        <v>170.7</v>
      </c>
      <c r="V357">
        <v>180.6</v>
      </c>
      <c r="W357">
        <v>167.3</v>
      </c>
      <c r="X357">
        <v>177.2</v>
      </c>
      <c r="Y357">
        <v>159.4</v>
      </c>
      <c r="Z357">
        <v>167.1</v>
      </c>
      <c r="AA357">
        <v>171.8</v>
      </c>
      <c r="AB357">
        <v>176</v>
      </c>
      <c r="AC357">
        <v>168.2</v>
      </c>
      <c r="AD357">
        <v>174.1</v>
      </c>
    </row>
    <row r="358" spans="1:30" x14ac:dyDescent="0.25">
      <c r="A358" t="s">
        <v>34</v>
      </c>
      <c r="B358">
        <v>2022</v>
      </c>
      <c r="C358" t="s">
        <v>46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>
        <v>184</v>
      </c>
      <c r="S358">
        <v>177</v>
      </c>
      <c r="T358">
        <v>183</v>
      </c>
      <c r="U358">
        <v>170.7</v>
      </c>
      <c r="V358">
        <v>182</v>
      </c>
      <c r="W358">
        <v>172.1</v>
      </c>
      <c r="X358">
        <v>181.1</v>
      </c>
      <c r="Y358">
        <v>163.4</v>
      </c>
      <c r="Z358">
        <v>168.9</v>
      </c>
      <c r="AA358">
        <v>174.1</v>
      </c>
      <c r="AB358">
        <v>175.8</v>
      </c>
      <c r="AC358">
        <v>172</v>
      </c>
      <c r="AD358">
        <v>175.7</v>
      </c>
    </row>
    <row r="359" spans="1:30" x14ac:dyDescent="0.25">
      <c r="A359" t="s">
        <v>30</v>
      </c>
      <c r="B359">
        <v>2023</v>
      </c>
      <c r="C359" t="s">
        <v>31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>
        <v>189</v>
      </c>
      <c r="S359">
        <v>186.3</v>
      </c>
      <c r="T359">
        <v>188.6</v>
      </c>
      <c r="U359" t="s">
        <v>32</v>
      </c>
      <c r="V359">
        <v>183.2</v>
      </c>
      <c r="W359">
        <v>177.2</v>
      </c>
      <c r="X359">
        <v>184.7</v>
      </c>
      <c r="Y359">
        <v>168.2</v>
      </c>
      <c r="Z359">
        <v>171.8</v>
      </c>
      <c r="AA359">
        <v>177.8</v>
      </c>
      <c r="AB359">
        <v>178.4</v>
      </c>
      <c r="AC359">
        <v>176.5</v>
      </c>
      <c r="AD359">
        <v>177.8</v>
      </c>
    </row>
    <row r="360" spans="1:30" x14ac:dyDescent="0.25">
      <c r="A360" t="s">
        <v>33</v>
      </c>
      <c r="B360">
        <v>2023</v>
      </c>
      <c r="C360" t="s">
        <v>31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>
        <v>178.7</v>
      </c>
      <c r="S360">
        <v>165.3</v>
      </c>
      <c r="T360">
        <v>176.6</v>
      </c>
      <c r="U360">
        <v>172.1</v>
      </c>
      <c r="V360">
        <v>180.1</v>
      </c>
      <c r="W360">
        <v>168</v>
      </c>
      <c r="X360">
        <v>178.5</v>
      </c>
      <c r="Y360">
        <v>159.5</v>
      </c>
      <c r="Z360">
        <v>167.8</v>
      </c>
      <c r="AA360">
        <v>171.8</v>
      </c>
      <c r="AB360">
        <v>178.8</v>
      </c>
      <c r="AC360">
        <v>168.9</v>
      </c>
      <c r="AD360">
        <v>174.9</v>
      </c>
    </row>
    <row r="361" spans="1:30" x14ac:dyDescent="0.25">
      <c r="A361" t="s">
        <v>34</v>
      </c>
      <c r="B361">
        <v>2023</v>
      </c>
      <c r="C361" t="s">
        <v>31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>
        <v>184.9</v>
      </c>
      <c r="S361">
        <v>177.6</v>
      </c>
      <c r="T361">
        <v>183.8</v>
      </c>
      <c r="U361">
        <v>172.1</v>
      </c>
      <c r="V361">
        <v>182</v>
      </c>
      <c r="W361">
        <v>172.9</v>
      </c>
      <c r="X361">
        <v>182.3</v>
      </c>
      <c r="Y361">
        <v>163.6</v>
      </c>
      <c r="Z361">
        <v>169.5</v>
      </c>
      <c r="AA361">
        <v>174.3</v>
      </c>
      <c r="AB361">
        <v>178.6</v>
      </c>
      <c r="AC361">
        <v>172.8</v>
      </c>
      <c r="AD361">
        <v>176.5</v>
      </c>
    </row>
    <row r="362" spans="1:30" x14ac:dyDescent="0.25">
      <c r="A362" t="s">
        <v>30</v>
      </c>
      <c r="B362">
        <v>2023</v>
      </c>
      <c r="C362" t="s">
        <v>35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>
        <v>190</v>
      </c>
      <c r="S362">
        <v>187</v>
      </c>
      <c r="T362">
        <v>189.6</v>
      </c>
      <c r="U362" t="s">
        <v>32</v>
      </c>
      <c r="V362">
        <v>181.6</v>
      </c>
      <c r="W362">
        <v>178.6</v>
      </c>
      <c r="X362">
        <v>186.6</v>
      </c>
      <c r="Y362">
        <v>169</v>
      </c>
      <c r="Z362">
        <v>172.8</v>
      </c>
      <c r="AA362">
        <v>178.5</v>
      </c>
      <c r="AB362">
        <v>180.7</v>
      </c>
      <c r="AC362">
        <v>177.9</v>
      </c>
      <c r="AD362">
        <v>178</v>
      </c>
    </row>
    <row r="363" spans="1:30" x14ac:dyDescent="0.25">
      <c r="A363" t="s">
        <v>33</v>
      </c>
      <c r="B363">
        <v>2023</v>
      </c>
      <c r="C363" t="s">
        <v>35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>
        <v>180.3</v>
      </c>
      <c r="S363">
        <v>167</v>
      </c>
      <c r="T363">
        <v>178.2</v>
      </c>
      <c r="U363">
        <v>173.5</v>
      </c>
      <c r="V363">
        <v>182.8</v>
      </c>
      <c r="W363">
        <v>169.2</v>
      </c>
      <c r="X363">
        <v>180.8</v>
      </c>
      <c r="Y363">
        <v>159.80000000000001</v>
      </c>
      <c r="Z363">
        <v>168.4</v>
      </c>
      <c r="AA363">
        <v>172.5</v>
      </c>
      <c r="AB363">
        <v>181.4</v>
      </c>
      <c r="AC363">
        <v>170</v>
      </c>
      <c r="AD363">
        <v>176.3</v>
      </c>
    </row>
    <row r="364" spans="1:30" x14ac:dyDescent="0.25">
      <c r="A364" t="s">
        <v>34</v>
      </c>
      <c r="B364">
        <v>2023</v>
      </c>
      <c r="C364" t="s">
        <v>35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>
        <v>186.2</v>
      </c>
      <c r="S364">
        <v>178.7</v>
      </c>
      <c r="T364">
        <v>185.1</v>
      </c>
      <c r="U364">
        <v>173.5</v>
      </c>
      <c r="V364">
        <v>182.1</v>
      </c>
      <c r="W364">
        <v>174.2</v>
      </c>
      <c r="X364">
        <v>184.4</v>
      </c>
      <c r="Y364">
        <v>164.2</v>
      </c>
      <c r="Z364">
        <v>170.3</v>
      </c>
      <c r="AA364">
        <v>175</v>
      </c>
      <c r="AB364">
        <v>181</v>
      </c>
      <c r="AC364">
        <v>174.1</v>
      </c>
      <c r="AD364">
        <v>177.2</v>
      </c>
    </row>
    <row r="365" spans="1:30" x14ac:dyDescent="0.25">
      <c r="A365" t="s">
        <v>30</v>
      </c>
      <c r="B365">
        <v>2023</v>
      </c>
      <c r="C365" t="s">
        <v>36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>
        <v>190</v>
      </c>
      <c r="S365">
        <v>187</v>
      </c>
      <c r="T365">
        <v>189.6</v>
      </c>
      <c r="U365" t="s">
        <v>32</v>
      </c>
      <c r="V365">
        <v>181.4</v>
      </c>
      <c r="W365">
        <v>178.6</v>
      </c>
      <c r="X365">
        <v>186.6</v>
      </c>
      <c r="Y365">
        <v>169</v>
      </c>
      <c r="Z365">
        <v>172.8</v>
      </c>
      <c r="AA365">
        <v>178.5</v>
      </c>
      <c r="AB365">
        <v>180.7</v>
      </c>
      <c r="AC365">
        <v>177.9</v>
      </c>
      <c r="AD365">
        <v>178</v>
      </c>
    </row>
    <row r="366" spans="1:30" x14ac:dyDescent="0.25">
      <c r="A366" t="s">
        <v>33</v>
      </c>
      <c r="B366">
        <v>2023</v>
      </c>
      <c r="C366" t="s">
        <v>36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>
        <v>180.2</v>
      </c>
      <c r="S366">
        <v>167</v>
      </c>
      <c r="T366">
        <v>178.2</v>
      </c>
      <c r="U366">
        <v>173.5</v>
      </c>
      <c r="V366">
        <v>182.6</v>
      </c>
      <c r="W366">
        <v>169.2</v>
      </c>
      <c r="X366">
        <v>180.8</v>
      </c>
      <c r="Y366">
        <v>159.80000000000001</v>
      </c>
      <c r="Z366">
        <v>168.4</v>
      </c>
      <c r="AA366">
        <v>172.5</v>
      </c>
      <c r="AB366">
        <v>181.5</v>
      </c>
      <c r="AC366">
        <v>170</v>
      </c>
      <c r="AD366">
        <v>176.3</v>
      </c>
    </row>
    <row r="367" spans="1:30" x14ac:dyDescent="0.25">
      <c r="A367" t="s">
        <v>34</v>
      </c>
      <c r="B367">
        <v>2023</v>
      </c>
      <c r="C367" t="s">
        <v>36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>
        <v>186.1</v>
      </c>
      <c r="S367">
        <v>178.7</v>
      </c>
      <c r="T367">
        <v>185.1</v>
      </c>
      <c r="U367">
        <v>173.5</v>
      </c>
      <c r="V367">
        <v>181.9</v>
      </c>
      <c r="W367">
        <v>174.2</v>
      </c>
      <c r="X367">
        <v>184.4</v>
      </c>
      <c r="Y367">
        <v>164.2</v>
      </c>
      <c r="Z367">
        <v>170.3</v>
      </c>
      <c r="AA367">
        <v>175</v>
      </c>
      <c r="AB367">
        <v>181</v>
      </c>
      <c r="AC367">
        <v>174.1</v>
      </c>
      <c r="AD367">
        <v>177.2</v>
      </c>
    </row>
    <row r="368" spans="1:30" x14ac:dyDescent="0.25">
      <c r="A368" t="s">
        <v>30</v>
      </c>
      <c r="B368">
        <v>2023</v>
      </c>
      <c r="C368" t="s">
        <v>37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>
        <v>190.7</v>
      </c>
      <c r="S368">
        <v>187.3</v>
      </c>
      <c r="T368">
        <v>190.2</v>
      </c>
      <c r="U368" t="s">
        <v>48</v>
      </c>
      <c r="V368">
        <v>181.5</v>
      </c>
      <c r="W368">
        <v>179.1</v>
      </c>
      <c r="X368">
        <v>187.2</v>
      </c>
      <c r="Y368">
        <v>169.4</v>
      </c>
      <c r="Z368">
        <v>173.2</v>
      </c>
      <c r="AA368">
        <v>179.4</v>
      </c>
      <c r="AB368">
        <v>183.8</v>
      </c>
      <c r="AC368">
        <v>178.9</v>
      </c>
      <c r="AD368">
        <v>178.8</v>
      </c>
    </row>
    <row r="369" spans="1:30" x14ac:dyDescent="0.25">
      <c r="A369" t="s">
        <v>33</v>
      </c>
      <c r="B369">
        <v>2023</v>
      </c>
      <c r="C369" t="s">
        <v>37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>
        <v>181</v>
      </c>
      <c r="S369">
        <v>167.7</v>
      </c>
      <c r="T369">
        <v>178.9</v>
      </c>
      <c r="U369">
        <v>175.2</v>
      </c>
      <c r="V369">
        <v>182.1</v>
      </c>
      <c r="W369">
        <v>169.6</v>
      </c>
      <c r="X369">
        <v>181.5</v>
      </c>
      <c r="Y369">
        <v>160.1</v>
      </c>
      <c r="Z369">
        <v>168.8</v>
      </c>
      <c r="AA369">
        <v>174.2</v>
      </c>
      <c r="AB369">
        <v>184.4</v>
      </c>
      <c r="AC369">
        <v>170.9</v>
      </c>
      <c r="AD369">
        <v>177.4</v>
      </c>
    </row>
    <row r="370" spans="1:30" x14ac:dyDescent="0.25">
      <c r="A370" t="s">
        <v>34</v>
      </c>
      <c r="B370">
        <v>2023</v>
      </c>
      <c r="C370" t="s">
        <v>37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>
        <v>186.9</v>
      </c>
      <c r="S370">
        <v>179.2</v>
      </c>
      <c r="T370">
        <v>185.7</v>
      </c>
      <c r="U370">
        <v>175.2</v>
      </c>
      <c r="V370">
        <v>181.7</v>
      </c>
      <c r="W370">
        <v>174.6</v>
      </c>
      <c r="X370">
        <v>185</v>
      </c>
      <c r="Y370">
        <v>164.5</v>
      </c>
      <c r="Z370">
        <v>170.7</v>
      </c>
      <c r="AA370">
        <v>176.4</v>
      </c>
      <c r="AB370">
        <v>184</v>
      </c>
      <c r="AC370">
        <v>175</v>
      </c>
      <c r="AD370">
        <v>178.1</v>
      </c>
    </row>
    <row r="371" spans="1:30" x14ac:dyDescent="0.25">
      <c r="A371" t="s">
        <v>30</v>
      </c>
      <c r="B371">
        <v>2023</v>
      </c>
      <c r="C371" t="s">
        <v>38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>
        <v>191.2</v>
      </c>
      <c r="S371">
        <v>187.9</v>
      </c>
      <c r="T371">
        <v>190.8</v>
      </c>
      <c r="U371" t="s">
        <v>48</v>
      </c>
      <c r="V371">
        <v>182.5</v>
      </c>
      <c r="W371">
        <v>179.8</v>
      </c>
      <c r="X371">
        <v>187.8</v>
      </c>
      <c r="Y371">
        <v>169.7</v>
      </c>
      <c r="Z371">
        <v>173.8</v>
      </c>
      <c r="AA371">
        <v>180.3</v>
      </c>
      <c r="AB371">
        <v>184.9</v>
      </c>
      <c r="AC371">
        <v>179.5</v>
      </c>
      <c r="AD371">
        <v>179.8</v>
      </c>
    </row>
    <row r="372" spans="1:30" x14ac:dyDescent="0.25">
      <c r="A372" t="s">
        <v>33</v>
      </c>
      <c r="B372">
        <v>2023</v>
      </c>
      <c r="C372" t="s">
        <v>38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>
        <v>181.3</v>
      </c>
      <c r="S372">
        <v>168.1</v>
      </c>
      <c r="T372">
        <v>179.3</v>
      </c>
      <c r="U372">
        <v>175.6</v>
      </c>
      <c r="V372">
        <v>183.4</v>
      </c>
      <c r="W372">
        <v>170.1</v>
      </c>
      <c r="X372">
        <v>182.2</v>
      </c>
      <c r="Y372">
        <v>160.4</v>
      </c>
      <c r="Z372">
        <v>169.2</v>
      </c>
      <c r="AA372">
        <v>174.8</v>
      </c>
      <c r="AB372">
        <v>185.6</v>
      </c>
      <c r="AC372">
        <v>171.6</v>
      </c>
      <c r="AD372">
        <v>178.2</v>
      </c>
    </row>
    <row r="373" spans="1:30" x14ac:dyDescent="0.25">
      <c r="A373" t="s">
        <v>34</v>
      </c>
      <c r="B373">
        <v>2023</v>
      </c>
      <c r="C373" t="s">
        <v>38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>
        <v>187.3</v>
      </c>
      <c r="S373">
        <v>179.7</v>
      </c>
      <c r="T373">
        <v>186.2</v>
      </c>
      <c r="U373">
        <v>175.6</v>
      </c>
      <c r="V373">
        <v>182.8</v>
      </c>
      <c r="W373">
        <v>175.2</v>
      </c>
      <c r="X373">
        <v>185.7</v>
      </c>
      <c r="Y373">
        <v>164.8</v>
      </c>
      <c r="Z373">
        <v>171.2</v>
      </c>
      <c r="AA373">
        <v>177.1</v>
      </c>
      <c r="AB373">
        <v>185.2</v>
      </c>
      <c r="AC373">
        <v>175.7</v>
      </c>
      <c r="AD373">
        <v>179.1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6536-F42E-4F16-AD6D-FAC8115228DE}">
  <dimension ref="A1:C25"/>
  <sheetViews>
    <sheetView tabSelected="1" zoomScale="95" workbookViewId="0">
      <selection activeCell="B2" sqref="B2"/>
    </sheetView>
  </sheetViews>
  <sheetFormatPr defaultRowHeight="15" x14ac:dyDescent="0.25"/>
  <cols>
    <col min="1" max="1" width="12.85546875" bestFit="1" customWidth="1"/>
    <col min="2" max="2" width="14.5703125" bestFit="1" customWidth="1"/>
  </cols>
  <sheetData>
    <row r="1" spans="1:3" x14ac:dyDescent="0.25">
      <c r="A1" s="1" t="s">
        <v>49</v>
      </c>
      <c r="B1" s="1" t="s">
        <v>50</v>
      </c>
      <c r="C1" s="2"/>
    </row>
    <row r="2" spans="1:3" ht="30" x14ac:dyDescent="0.25">
      <c r="A2" s="3" t="s">
        <v>3</v>
      </c>
      <c r="B2" s="3" t="s">
        <v>51</v>
      </c>
    </row>
    <row r="3" spans="1:3" ht="30" x14ac:dyDescent="0.25">
      <c r="A3" s="3" t="s">
        <v>4</v>
      </c>
      <c r="B3" s="3" t="s">
        <v>51</v>
      </c>
    </row>
    <row r="4" spans="1:3" x14ac:dyDescent="0.25">
      <c r="A4" s="3" t="s">
        <v>5</v>
      </c>
      <c r="B4" s="3" t="s">
        <v>51</v>
      </c>
    </row>
    <row r="5" spans="1:3" ht="30" x14ac:dyDescent="0.25">
      <c r="A5" s="3" t="s">
        <v>6</v>
      </c>
      <c r="B5" s="3" t="s">
        <v>51</v>
      </c>
    </row>
    <row r="6" spans="1:3" x14ac:dyDescent="0.25">
      <c r="A6" s="3" t="s">
        <v>7</v>
      </c>
      <c r="B6" s="3" t="s">
        <v>51</v>
      </c>
    </row>
    <row r="7" spans="1:3" x14ac:dyDescent="0.25">
      <c r="A7" s="3" t="s">
        <v>8</v>
      </c>
      <c r="B7" s="3" t="s">
        <v>51</v>
      </c>
    </row>
    <row r="8" spans="1:3" x14ac:dyDescent="0.25">
      <c r="A8" s="3" t="s">
        <v>9</v>
      </c>
      <c r="B8" s="3" t="s">
        <v>51</v>
      </c>
    </row>
    <row r="9" spans="1:3" ht="30" x14ac:dyDescent="0.25">
      <c r="A9" s="3" t="s">
        <v>10</v>
      </c>
      <c r="B9" s="3" t="s">
        <v>51</v>
      </c>
    </row>
    <row r="10" spans="1:3" ht="45" x14ac:dyDescent="0.25">
      <c r="A10" s="3" t="s">
        <v>11</v>
      </c>
      <c r="B10" s="3" t="s">
        <v>51</v>
      </c>
    </row>
    <row r="11" spans="1:3" x14ac:dyDescent="0.25">
      <c r="A11" s="3" t="s">
        <v>12</v>
      </c>
      <c r="B11" s="3" t="s">
        <v>51</v>
      </c>
    </row>
    <row r="12" spans="1:3" ht="45" x14ac:dyDescent="0.25">
      <c r="A12" s="3" t="s">
        <v>13</v>
      </c>
      <c r="B12" s="3" t="s">
        <v>51</v>
      </c>
    </row>
    <row r="13" spans="1:3" ht="60" x14ac:dyDescent="0.25">
      <c r="A13" s="3" t="s">
        <v>14</v>
      </c>
      <c r="B13" s="3" t="s">
        <v>51</v>
      </c>
    </row>
    <row r="14" spans="1:3" ht="45" x14ac:dyDescent="0.25">
      <c r="A14" s="3" t="s">
        <v>16</v>
      </c>
      <c r="B14" s="3" t="s">
        <v>52</v>
      </c>
    </row>
    <row r="15" spans="1:3" ht="30" x14ac:dyDescent="0.25">
      <c r="A15" s="3" t="s">
        <v>17</v>
      </c>
      <c r="B15" s="3" t="s">
        <v>53</v>
      </c>
    </row>
    <row r="16" spans="1:3" ht="30" x14ac:dyDescent="0.25">
      <c r="A16" s="3" t="s">
        <v>18</v>
      </c>
      <c r="B16" s="3" t="s">
        <v>53</v>
      </c>
    </row>
    <row r="17" spans="1:2" x14ac:dyDescent="0.25">
      <c r="A17" s="3" t="s">
        <v>20</v>
      </c>
      <c r="B17" s="3" t="s">
        <v>20</v>
      </c>
    </row>
    <row r="18" spans="1:2" ht="30" x14ac:dyDescent="0.25">
      <c r="A18" s="3" t="s">
        <v>21</v>
      </c>
      <c r="B18" s="3" t="s">
        <v>54</v>
      </c>
    </row>
    <row r="19" spans="1:2" ht="45" x14ac:dyDescent="0.25">
      <c r="A19" s="3" t="s">
        <v>22</v>
      </c>
      <c r="B19" s="3" t="s">
        <v>55</v>
      </c>
    </row>
    <row r="20" spans="1:2" ht="30" x14ac:dyDescent="0.25">
      <c r="A20" s="3" t="s">
        <v>23</v>
      </c>
      <c r="B20" s="3" t="s">
        <v>55</v>
      </c>
    </row>
    <row r="21" spans="1:2" ht="60" x14ac:dyDescent="0.25">
      <c r="A21" s="3" t="s">
        <v>24</v>
      </c>
      <c r="B21" s="3" t="s">
        <v>55</v>
      </c>
    </row>
    <row r="22" spans="1:2" ht="45" x14ac:dyDescent="0.25">
      <c r="A22" s="3" t="s">
        <v>25</v>
      </c>
      <c r="B22" s="3" t="s">
        <v>55</v>
      </c>
    </row>
    <row r="23" spans="1:2" ht="30" x14ac:dyDescent="0.25">
      <c r="A23" s="3" t="s">
        <v>26</v>
      </c>
      <c r="B23" s="3" t="s">
        <v>55</v>
      </c>
    </row>
    <row r="24" spans="1:2" ht="30" x14ac:dyDescent="0.25">
      <c r="A24" s="3" t="s">
        <v>27</v>
      </c>
      <c r="B24" s="3" t="s">
        <v>55</v>
      </c>
    </row>
    <row r="25" spans="1:2" ht="30" x14ac:dyDescent="0.25">
      <c r="A25" s="3" t="s">
        <v>28</v>
      </c>
      <c r="B25" s="3" t="s">
        <v>55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9D85-6C2C-4030-97DB-D531D6CCB5B6}">
  <dimension ref="A1:C8"/>
  <sheetViews>
    <sheetView workbookViewId="0">
      <selection activeCell="K22" sqref="K22"/>
    </sheetView>
  </sheetViews>
  <sheetFormatPr defaultRowHeight="15" x14ac:dyDescent="0.25"/>
  <cols>
    <col min="1" max="1" width="24.28515625" bestFit="1" customWidth="1"/>
    <col min="2" max="2" width="21.140625" customWidth="1"/>
    <col min="3" max="3" width="16.42578125" customWidth="1"/>
  </cols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 t="s">
        <v>51</v>
      </c>
      <c r="B2">
        <f>SUM('All_India_Index_Upto_April23 (1'!D373:O373)</f>
        <v>2127.8000000000002</v>
      </c>
      <c r="C2" s="4">
        <f>B2/$B$8*100</f>
        <v>49.60947518127346</v>
      </c>
    </row>
    <row r="3" spans="1:3" x14ac:dyDescent="0.25">
      <c r="A3" t="s">
        <v>52</v>
      </c>
      <c r="B3">
        <f>SUM('All_India_Index_Upto_April23 (1'!Q373)</f>
        <v>201</v>
      </c>
      <c r="C3" s="4">
        <f t="shared" ref="C3:C7" si="0">B3/$B$8*100</f>
        <v>4.6862978247184719</v>
      </c>
    </row>
    <row r="4" spans="1:3" x14ac:dyDescent="0.25">
      <c r="A4" t="s">
        <v>53</v>
      </c>
      <c r="B4">
        <f>SUM('All_India_Index_Upto_April23 (1'!R373:S373)</f>
        <v>367</v>
      </c>
      <c r="C4" s="4">
        <f t="shared" si="0"/>
        <v>8.5565736401576089</v>
      </c>
    </row>
    <row r="5" spans="1:3" x14ac:dyDescent="0.25">
      <c r="A5" t="s">
        <v>20</v>
      </c>
      <c r="B5">
        <f>SUM('All_India_Index_Upto_April23 (1'!U373)</f>
        <v>175.6</v>
      </c>
      <c r="C5" s="4">
        <f t="shared" si="0"/>
        <v>4.0940989951271822</v>
      </c>
    </row>
    <row r="6" spans="1:3" x14ac:dyDescent="0.25">
      <c r="A6" t="s">
        <v>54</v>
      </c>
      <c r="B6">
        <f>SUM('All_India_Index_Upto_April23 (1'!V373)</f>
        <v>182.8</v>
      </c>
      <c r="C6" s="4">
        <f t="shared" si="0"/>
        <v>4.2619663798932175</v>
      </c>
    </row>
    <row r="7" spans="1:3" x14ac:dyDescent="0.25">
      <c r="A7" t="s">
        <v>55</v>
      </c>
      <c r="B7">
        <f>SUM('All_India_Index_Upto_April23 (1'!W373:AC373)</f>
        <v>1234.9000000000001</v>
      </c>
      <c r="C7" s="4">
        <f t="shared" si="0"/>
        <v>28.791587978830059</v>
      </c>
    </row>
    <row r="8" spans="1:3" x14ac:dyDescent="0.25">
      <c r="A8" s="1" t="s">
        <v>59</v>
      </c>
      <c r="B8" s="1">
        <f>SUM(B2:B7)</f>
        <v>4289.1000000000004</v>
      </c>
      <c r="C8" s="4">
        <f>SUM(C2:C7)</f>
        <v>100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7F5E-8A00-4DAB-9680-DD322563165A}">
  <dimension ref="A1:N18"/>
  <sheetViews>
    <sheetView topLeftCell="B1" workbookViewId="0">
      <selection activeCell="N2" sqref="N2"/>
    </sheetView>
  </sheetViews>
  <sheetFormatPr defaultRowHeight="15" x14ac:dyDescent="0.25"/>
  <cols>
    <col min="1" max="1" width="5" bestFit="1" customWidth="1"/>
    <col min="2" max="2" width="19.42578125" customWidth="1"/>
    <col min="3" max="3" width="15.7109375" customWidth="1"/>
    <col min="14" max="14" width="44" bestFit="1" customWidth="1"/>
  </cols>
  <sheetData>
    <row r="1" spans="1:14" x14ac:dyDescent="0.25">
      <c r="A1" s="1" t="s">
        <v>1</v>
      </c>
      <c r="B1" s="1" t="s">
        <v>60</v>
      </c>
      <c r="C1" s="1" t="s">
        <v>61</v>
      </c>
    </row>
    <row r="2" spans="1:14" ht="15.75" x14ac:dyDescent="0.25">
      <c r="A2">
        <v>2013</v>
      </c>
      <c r="B2">
        <f>ROUND(AVERAGEIFS('All_India_Index_Upto_April23 (1'!$AD:$AD,'All_India_Index_Upto_April23 (1'!$B:$B,A2,'All_India_Index_Upto_April23 (1'!$A:$A,"Rural+Urban"),2)</f>
        <v>110.03</v>
      </c>
      <c r="N2" s="6" t="s">
        <v>62</v>
      </c>
    </row>
    <row r="3" spans="1:14" x14ac:dyDescent="0.25">
      <c r="A3">
        <v>2014</v>
      </c>
      <c r="B3">
        <f>ROUND(AVERAGEIFS('All_India_Index_Upto_April23 (1'!$AD:$AD,'All_India_Index_Upto_April23 (1'!$B:$B,A3,'All_India_Index_Upto_April23 (1'!$A:$A,"Rural+Urban"),2)</f>
        <v>117.35</v>
      </c>
      <c r="C3">
        <f>ROUND((B3-B2)/B2*100,2)</f>
        <v>6.65</v>
      </c>
      <c r="N3" t="s">
        <v>63</v>
      </c>
    </row>
    <row r="4" spans="1:14" x14ac:dyDescent="0.25">
      <c r="A4">
        <v>2015</v>
      </c>
      <c r="B4">
        <f>ROUND(AVERAGEIFS('All_India_Index_Upto_April23 (1'!$AD:$AD,'All_India_Index_Upto_April23 (1'!$B:$B,A4,'All_India_Index_Upto_April23 (1'!$A:$A,"Rural+Urban"),2)</f>
        <v>123.11</v>
      </c>
      <c r="C4">
        <f t="shared" ref="C4:C12" si="0">ROUND((B4-B3)/B3*100,2)</f>
        <v>4.91</v>
      </c>
      <c r="N4" t="s">
        <v>64</v>
      </c>
    </row>
    <row r="5" spans="1:14" x14ac:dyDescent="0.25">
      <c r="A5">
        <v>2016</v>
      </c>
      <c r="B5">
        <f>ROUND(AVERAGEIFS('All_India_Index_Upto_April23 (1'!$AD:$AD,'All_India_Index_Upto_April23 (1'!$B:$B,A5,'All_India_Index_Upto_April23 (1'!$A:$A,"Rural+Urban"),2)</f>
        <v>129.19999999999999</v>
      </c>
      <c r="C5">
        <f t="shared" si="0"/>
        <v>4.95</v>
      </c>
      <c r="N5" t="s">
        <v>65</v>
      </c>
    </row>
    <row r="6" spans="1:14" x14ac:dyDescent="0.25">
      <c r="A6">
        <v>2017</v>
      </c>
      <c r="B6">
        <f>ROUND(AVERAGEIFS('All_India_Index_Upto_April23 (1'!$AD:$AD,'All_India_Index_Upto_April23 (1'!$B:$B,A6,'All_India_Index_Upto_April23 (1'!$A:$A,"Rural+Urban"),2)</f>
        <v>133.5</v>
      </c>
      <c r="C6">
        <f t="shared" si="0"/>
        <v>3.33</v>
      </c>
      <c r="N6" t="s">
        <v>66</v>
      </c>
    </row>
    <row r="7" spans="1:14" x14ac:dyDescent="0.25">
      <c r="A7">
        <v>2018</v>
      </c>
      <c r="B7">
        <f>ROUND(AVERAGEIFS('All_India_Index_Upto_April23 (1'!$AD:$AD,'All_India_Index_Upto_April23 (1'!$B:$B,A7,'All_India_Index_Upto_April23 (1'!$A:$A,"Rural+Urban"),2)</f>
        <v>138.78</v>
      </c>
      <c r="C7">
        <f t="shared" si="0"/>
        <v>3.96</v>
      </c>
    </row>
    <row r="8" spans="1:14" x14ac:dyDescent="0.25">
      <c r="A8">
        <v>2019</v>
      </c>
      <c r="B8">
        <f>ROUND(AVERAGEIFS('All_India_Index_Upto_April23 (1'!$AD:$AD,'All_India_Index_Upto_April23 (1'!$B:$B,A8,'All_India_Index_Upto_April23 (1'!$A:$A,"Rural+Urban"),2)</f>
        <v>144.18</v>
      </c>
      <c r="C8">
        <f t="shared" si="0"/>
        <v>3.89</v>
      </c>
    </row>
    <row r="9" spans="1:14" x14ac:dyDescent="0.25">
      <c r="A9">
        <v>2020</v>
      </c>
      <c r="B9">
        <f>ROUND(AVERAGEIFS('All_India_Index_Upto_April23 (1'!$AD:$AD,'All_India_Index_Upto_April23 (1'!$B:$B,A9,'All_India_Index_Upto_April23 (1'!$A:$A,"Rural+Urban"),2)</f>
        <v>153.38</v>
      </c>
      <c r="C9">
        <f t="shared" si="0"/>
        <v>6.38</v>
      </c>
    </row>
    <row r="10" spans="1:14" x14ac:dyDescent="0.25">
      <c r="A10">
        <v>2021</v>
      </c>
      <c r="B10">
        <f>ROUND(AVERAGEIFS('All_India_Index_Upto_April23 (1'!$AD:$AD,'All_India_Index_Upto_April23 (1'!$B:$B,A10,'All_India_Index_Upto_April23 (1'!$A:$A,"Rural+Urban"),2)</f>
        <v>161.46</v>
      </c>
      <c r="C10">
        <f t="shared" si="0"/>
        <v>5.27</v>
      </c>
    </row>
    <row r="11" spans="1:14" x14ac:dyDescent="0.25">
      <c r="A11">
        <v>2022</v>
      </c>
      <c r="B11">
        <f>ROUND(AVERAGEIFS('All_India_Index_Upto_April23 (1'!$AD:$AD,'All_India_Index_Upto_April23 (1'!$B:$B,A11,'All_India_Index_Upto_April23 (1'!$A:$A,"Rural+Urban"),2)</f>
        <v>172.15</v>
      </c>
      <c r="C11">
        <f t="shared" si="0"/>
        <v>6.62</v>
      </c>
    </row>
    <row r="12" spans="1:14" x14ac:dyDescent="0.25">
      <c r="A12">
        <v>2023</v>
      </c>
      <c r="B12">
        <f>ROUND(AVERAGEIFS('All_India_Index_Upto_April23 (1'!$AD:$AD,'All_India_Index_Upto_April23 (1'!$B:$B,A12,'All_India_Index_Upto_April23 (1'!$A:$A,"Rural+Urban"),2)</f>
        <v>177.62</v>
      </c>
      <c r="C12">
        <f t="shared" si="0"/>
        <v>3.18</v>
      </c>
    </row>
    <row r="18" spans="2:2" ht="15.75" x14ac:dyDescent="0.25">
      <c r="B18" s="5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D43A-B82C-49FE-9D15-72FE611F7F3F}">
  <dimension ref="A1:L13"/>
  <sheetViews>
    <sheetView workbookViewId="0">
      <selection activeCell="G16" sqref="G16"/>
    </sheetView>
  </sheetViews>
  <sheetFormatPr defaultRowHeight="15" x14ac:dyDescent="0.25"/>
  <cols>
    <col min="1" max="1" width="10.85546875" bestFit="1" customWidth="1"/>
    <col min="2" max="2" width="7.5703125" style="8" bestFit="1" customWidth="1"/>
    <col min="3" max="3" width="10.85546875" bestFit="1" customWidth="1"/>
    <col min="4" max="4" width="8.7109375" bestFit="1" customWidth="1"/>
    <col min="5" max="5" width="6" bestFit="1" customWidth="1"/>
    <col min="6" max="6" width="29.42578125" bestFit="1" customWidth="1"/>
    <col min="7" max="7" width="6.7109375" bestFit="1" customWidth="1"/>
    <col min="8" max="8" width="7.5703125" bestFit="1" customWidth="1"/>
    <col min="9" max="9" width="16.140625" bestFit="1" customWidth="1"/>
    <col min="11" max="11" width="18.140625" bestFit="1" customWidth="1"/>
    <col min="12" max="12" width="6.7109375" bestFit="1" customWidth="1"/>
  </cols>
  <sheetData>
    <row r="1" spans="1:12" x14ac:dyDescent="0.25">
      <c r="A1" s="1" t="s">
        <v>2</v>
      </c>
      <c r="B1" s="7" t="s">
        <v>67</v>
      </c>
      <c r="C1" s="1" t="s">
        <v>68</v>
      </c>
      <c r="D1" s="1" t="s">
        <v>69</v>
      </c>
      <c r="F1" s="1" t="s">
        <v>70</v>
      </c>
      <c r="G1" s="11">
        <v>44713</v>
      </c>
      <c r="H1" s="11">
        <v>45047</v>
      </c>
      <c r="I1" s="1" t="s">
        <v>71</v>
      </c>
      <c r="J1" s="1"/>
    </row>
    <row r="2" spans="1:12" x14ac:dyDescent="0.25">
      <c r="A2" t="s">
        <v>39</v>
      </c>
      <c r="B2" s="9">
        <v>2022</v>
      </c>
      <c r="C2">
        <f>AVERAGEIFS('Cleaned data'!$P:$P,'Cleaned data'!$A:$A,"Rural+Urban",'Cleaned data'!$C:$C,A2,'Cleaned data'!$B:$B,B2)</f>
        <v>174.9</v>
      </c>
      <c r="D2">
        <f>ROUND((C3-C2)/C2*100,2)</f>
        <v>0.06</v>
      </c>
      <c r="F2" t="s">
        <v>3</v>
      </c>
      <c r="G2">
        <f>AVERAGEIFS('Cleaned data'!$D:$D,'Cleaned data'!$A:$A,"Rural+Urban",'Cleaned data'!$C:$C,"June",'Cleaned data'!$B:$B,2022)</f>
        <v>155</v>
      </c>
      <c r="H2">
        <f>AVERAGEIFS('Cleaned data'!$D:$D,'Cleaned data'!$A:$A,"Rural+Urban",'Cleaned data'!$C:$C,"May",'Cleaned data'!$B:$B,2023)</f>
        <v>173.7</v>
      </c>
      <c r="I2">
        <f>H2-G2</f>
        <v>18.699999999999989</v>
      </c>
      <c r="K2" s="12" t="s">
        <v>73</v>
      </c>
      <c r="L2" s="13">
        <f>MAX(I2:I13)</f>
        <v>30.900000000000006</v>
      </c>
    </row>
    <row r="3" spans="1:12" x14ac:dyDescent="0.25">
      <c r="A3" t="s">
        <v>40</v>
      </c>
      <c r="B3" s="9">
        <v>2022</v>
      </c>
      <c r="C3">
        <f>AVERAGEIFS('Cleaned data'!$P:$P,'Cleaned data'!$A:$A,"Rural+Urban",'Cleaned data'!$C:$C,A3,'Cleaned data'!$B:$B,B3)</f>
        <v>175</v>
      </c>
      <c r="D3">
        <f t="shared" ref="D3:D12" si="0">ROUND((C4-C3)/C3*100,2)</f>
        <v>0.74</v>
      </c>
      <c r="F3" t="s">
        <v>4</v>
      </c>
      <c r="G3">
        <f>AVERAGEIFS('Cleaned data'!$E:$E,'Cleaned data'!$A:$A,"Rural+Urban",'Cleaned data'!$C:$C,"June",'Cleaned data'!$B:$B,2022)</f>
        <v>219.4</v>
      </c>
      <c r="H3">
        <f>AVERAGEIFS('Cleaned data'!$E:$E,'Cleaned data'!$A:$A,"Rural+Urban",'Cleaned data'!$C:$C,"May",'Cleaned data'!$B:$B,2023)</f>
        <v>214.3</v>
      </c>
      <c r="I3">
        <f t="shared" ref="I3:I13" si="1">H3-G3</f>
        <v>-5.0999999999999943</v>
      </c>
      <c r="K3" s="14" t="s">
        <v>74</v>
      </c>
      <c r="L3" s="15" t="str">
        <f>INDEX(F2:F13,MATCH(MAX(I2:I13),I2:I13,0))</f>
        <v>spices</v>
      </c>
    </row>
    <row r="4" spans="1:12" x14ac:dyDescent="0.25">
      <c r="A4" s="9" t="s">
        <v>41</v>
      </c>
      <c r="B4" s="9">
        <v>2022</v>
      </c>
      <c r="C4">
        <f>AVERAGEIFS('Cleaned data'!$P:$P,'Cleaned data'!$A:$A,"Rural+Urban",'Cleaned data'!$C:$C,A4,'Cleaned data'!$B:$B,B4)</f>
        <v>176.3</v>
      </c>
      <c r="D4">
        <f t="shared" si="0"/>
        <v>0.85</v>
      </c>
      <c r="F4" t="s">
        <v>72</v>
      </c>
      <c r="G4">
        <f>AVERAGEIFS('Cleaned data'!$F:$F,'Cleaned data'!$A:$A,"Rural+Urban",'Cleaned data'!$C:$C,"June",'Cleaned data'!$B:$B,2022)</f>
        <v>170.8</v>
      </c>
      <c r="H4">
        <f>AVERAGEIFS('Cleaned data'!$F:$F,'Cleaned data'!$A:$A,"Rural+Urban",'Cleaned data'!$C:$C,"May",'Cleaned data'!$B:$B,2023)</f>
        <v>173.2</v>
      </c>
      <c r="I4">
        <f t="shared" si="1"/>
        <v>2.3999999999999773</v>
      </c>
    </row>
    <row r="5" spans="1:12" x14ac:dyDescent="0.25">
      <c r="A5" t="s">
        <v>42</v>
      </c>
      <c r="B5" s="9">
        <v>2022</v>
      </c>
      <c r="C5">
        <f>AVERAGEIFS('Cleaned data'!$P:$P,'Cleaned data'!$A:$A,"Rural+Urban",'Cleaned data'!$C:$C,A5,'Cleaned data'!$B:$B,B5)</f>
        <v>177.8</v>
      </c>
      <c r="D5" s="10">
        <f t="shared" si="0"/>
        <v>1.01</v>
      </c>
      <c r="F5" t="s">
        <v>6</v>
      </c>
      <c r="G5">
        <f>AVERAGEIFS('Cleaned data'!$G:$G,'Cleaned data'!$A:$A,"Rural+Urban",'Cleaned data'!$C:$C,"June",'Cleaned data'!$B:$B,2022)</f>
        <v>165.8</v>
      </c>
      <c r="H5">
        <f>AVERAGEIFS('Cleaned data'!$G:$G,'Cleaned data'!$A:$A,"Rural+Urban",'Cleaned data'!$C:$C,"May",'Cleaned data'!$B:$B,2023)</f>
        <v>179.5</v>
      </c>
      <c r="I5">
        <f t="shared" si="1"/>
        <v>13.699999999999989</v>
      </c>
    </row>
    <row r="6" spans="1:12" x14ac:dyDescent="0.25">
      <c r="A6" t="s">
        <v>43</v>
      </c>
      <c r="B6" s="9">
        <v>2022</v>
      </c>
      <c r="C6">
        <f>AVERAGEIFS('Cleaned data'!$P:$P,'Cleaned data'!$A:$A,"Rural+Urban",'Cleaned data'!$C:$C,A6,'Cleaned data'!$B:$B,B6)</f>
        <v>179.6</v>
      </c>
      <c r="D6">
        <f t="shared" si="0"/>
        <v>-0.72</v>
      </c>
      <c r="F6" t="s">
        <v>7</v>
      </c>
      <c r="G6">
        <f>AVERAGEIFS('Cleaned data'!$H:$H,'Cleaned data'!$A:$A,"Rural+Urban",'Cleaned data'!$C:$C,"June",'Cleaned data'!$B:$B,2022)</f>
        <v>200.9</v>
      </c>
      <c r="H6">
        <f>AVERAGEIFS('Cleaned data'!$H:$H,'Cleaned data'!$A:$A,"Rural+Urban",'Cleaned data'!$C:$C,"May",'Cleaned data'!$B:$B,2023)</f>
        <v>170</v>
      </c>
      <c r="I6">
        <f t="shared" si="1"/>
        <v>-30.900000000000006</v>
      </c>
    </row>
    <row r="7" spans="1:12" x14ac:dyDescent="0.25">
      <c r="A7" t="s">
        <v>45</v>
      </c>
      <c r="B7" s="9">
        <v>2022</v>
      </c>
      <c r="C7">
        <f>AVERAGEIFS('Cleaned data'!$P:$P,'Cleaned data'!$A:$A,"Rural+Urban",'Cleaned data'!$C:$C,A7,'Cleaned data'!$B:$B,B7)</f>
        <v>178.3</v>
      </c>
      <c r="D7" s="16">
        <f t="shared" si="0"/>
        <v>-1.35</v>
      </c>
      <c r="F7" t="s">
        <v>8</v>
      </c>
      <c r="G7">
        <f>AVERAGEIFS('Cleaned data'!$I:$I,'Cleaned data'!$A:$A,"Rural+Urban",'Cleaned data'!$C:$C,"June",'Cleaned data'!$B:$B,2022)</f>
        <v>169.7</v>
      </c>
      <c r="H7">
        <f>AVERAGEIFS('Cleaned data'!$I:$I,'Cleaned data'!$A:$A,"Rural+Urban",'Cleaned data'!$C:$C,"May",'Cleaned data'!$B:$B,2023)</f>
        <v>172.2</v>
      </c>
      <c r="I7">
        <f t="shared" si="1"/>
        <v>2.5</v>
      </c>
    </row>
    <row r="8" spans="1:12" x14ac:dyDescent="0.25">
      <c r="A8" t="s">
        <v>46</v>
      </c>
      <c r="B8" s="9">
        <v>2022</v>
      </c>
      <c r="C8">
        <f>AVERAGEIFS('Cleaned data'!$P:$P,'Cleaned data'!$A:$A,"Rural+Urban",'Cleaned data'!$C:$C,A8,'Cleaned data'!$B:$B,B8)</f>
        <v>175.9</v>
      </c>
      <c r="D8">
        <f t="shared" si="0"/>
        <v>0.45</v>
      </c>
      <c r="F8" t="s">
        <v>9</v>
      </c>
      <c r="G8">
        <f>AVERAGEIFS('Cleaned data'!$J:$J,'Cleaned data'!$A:$A,"Rural+Urban",'Cleaned data'!$C:$C,"June",'Cleaned data'!$B:$B,2022)</f>
        <v>182.3</v>
      </c>
      <c r="H8">
        <f>AVERAGEIFS('Cleaned data'!$J:$J,'Cleaned data'!$A:$A,"Rural+Urban",'Cleaned data'!$C:$C,"May",'Cleaned data'!$B:$B,2023)</f>
        <v>161</v>
      </c>
      <c r="I8">
        <f t="shared" si="1"/>
        <v>-21.300000000000011</v>
      </c>
    </row>
    <row r="9" spans="1:12" x14ac:dyDescent="0.25">
      <c r="A9" t="s">
        <v>31</v>
      </c>
      <c r="B9" s="9">
        <v>2023</v>
      </c>
      <c r="C9">
        <f>AVERAGEIFS('Cleaned data'!$P:$P,'Cleaned data'!$A:$A,"Rural+Urban",'Cleaned data'!$C:$C,A9,'Cleaned data'!$B:$B,B9)</f>
        <v>176.7</v>
      </c>
      <c r="D9">
        <f t="shared" si="0"/>
        <v>0.17</v>
      </c>
      <c r="F9" t="s">
        <v>10</v>
      </c>
      <c r="G9">
        <f>AVERAGEIFS('Cleaned data'!$K:$K,'Cleaned data'!$A:$A,"Rural+Urban",'Cleaned data'!$C:$C,"June",'Cleaned data'!$B:$B,2022)</f>
        <v>164.3</v>
      </c>
      <c r="H9">
        <f>AVERAGEIFS('Cleaned data'!$K:$K,'Cleaned data'!$A:$A,"Rural+Urban",'Cleaned data'!$C:$C,"May",'Cleaned data'!$B:$B,2023)</f>
        <v>175.6</v>
      </c>
      <c r="I9">
        <f t="shared" si="1"/>
        <v>11.299999999999983</v>
      </c>
    </row>
    <row r="10" spans="1:12" x14ac:dyDescent="0.25">
      <c r="A10" t="s">
        <v>35</v>
      </c>
      <c r="B10" s="9">
        <v>2023</v>
      </c>
      <c r="C10">
        <f>AVERAGEIFS('Cleaned data'!$P:$P,'Cleaned data'!$A:$A,"Rural+Urban",'Cleaned data'!$C:$C,A10,'Cleaned data'!$B:$B,B10)</f>
        <v>177</v>
      </c>
      <c r="D10">
        <f t="shared" si="0"/>
        <v>0</v>
      </c>
      <c r="F10" t="s">
        <v>11</v>
      </c>
      <c r="G10">
        <f>AVERAGEIFS('Cleaned data'!$L:$L,'Cleaned data'!$A:$A,"Rural+Urban",'Cleaned data'!$C:$C,"June",'Cleaned data'!$B:$B,2022)</f>
        <v>119.9</v>
      </c>
      <c r="H10">
        <f>AVERAGEIFS('Cleaned data'!$L:$L,'Cleaned data'!$A:$A,"Rural+Urban",'Cleaned data'!$C:$C,"May",'Cleaned data'!$B:$B,2023)</f>
        <v>122.7</v>
      </c>
      <c r="I10">
        <f t="shared" si="1"/>
        <v>2.7999999999999972</v>
      </c>
    </row>
    <row r="11" spans="1:12" x14ac:dyDescent="0.25">
      <c r="A11" t="s">
        <v>36</v>
      </c>
      <c r="B11" s="9">
        <v>2023</v>
      </c>
      <c r="C11">
        <f>AVERAGEIFS('Cleaned data'!$P:$P,'Cleaned data'!$A:$A,"Rural+Urban",'Cleaned data'!$C:$C,A11,'Cleaned data'!$B:$B,B11)</f>
        <v>177</v>
      </c>
      <c r="D11">
        <f t="shared" si="0"/>
        <v>0.51</v>
      </c>
      <c r="F11" t="s">
        <v>75</v>
      </c>
      <c r="G11">
        <f>AVERAGEIFS('Cleaned data'!$M:$M,'Cleaned data'!$A:$A,"Rural+Urban",'Cleaned data'!$C:$C,"June",'Cleaned data'!$B:$B,2022)</f>
        <v>187.1</v>
      </c>
      <c r="H11">
        <f>AVERAGEIFS('Cleaned data'!$M:$M,'Cleaned data'!$A:$A,"Rural+Urban",'Cleaned data'!$C:$C,"May",'Cleaned data'!$B:$B,2023)</f>
        <v>218</v>
      </c>
      <c r="I11">
        <f t="shared" si="1"/>
        <v>30.900000000000006</v>
      </c>
    </row>
    <row r="12" spans="1:12" x14ac:dyDescent="0.25">
      <c r="A12" t="s">
        <v>37</v>
      </c>
      <c r="B12" s="9">
        <v>2023</v>
      </c>
      <c r="C12">
        <f>AVERAGEIFS('Cleaned data'!$P:$P,'Cleaned data'!$A:$A,"Rural+Urban",'Cleaned data'!$C:$C,A12,'Cleaned data'!$B:$B,B12)</f>
        <v>177.9</v>
      </c>
      <c r="D12">
        <f t="shared" si="0"/>
        <v>0.67</v>
      </c>
      <c r="F12" t="s">
        <v>13</v>
      </c>
      <c r="G12">
        <f>AVERAGEIFS('Cleaned data'!$N:$N,'Cleaned data'!$A:$A,"Rural+Urban",'Cleaned data'!$C:$C,"June",'Cleaned data'!$B:$B,2022)</f>
        <v>167.9</v>
      </c>
      <c r="H12">
        <f>AVERAGEIFS('Cleaned data'!$N:$N,'Cleaned data'!$A:$A,"Rural+Urban",'Cleaned data'!$C:$C,"May",'Cleaned data'!$B:$B,2023)</f>
        <v>173.4</v>
      </c>
      <c r="I12">
        <f t="shared" si="1"/>
        <v>5.5</v>
      </c>
    </row>
    <row r="13" spans="1:12" x14ac:dyDescent="0.25">
      <c r="A13" t="s">
        <v>38</v>
      </c>
      <c r="B13" s="9">
        <v>2023</v>
      </c>
      <c r="C13">
        <f>AVERAGEIFS('Cleaned data'!$P:$P,'Cleaned data'!$A:$A,"Rural+Urban",'Cleaned data'!$C:$C,A13,'Cleaned data'!$B:$B,B13)</f>
        <v>179.1</v>
      </c>
      <c r="F13" t="s">
        <v>76</v>
      </c>
      <c r="G13">
        <f>AVERAGEIFS('Cleaned data'!$O:$O,'Cleaned data'!$A:$A,"Rural+Urban",'Cleaned data'!$C:$C,"June",'Cleaned data'!$B:$B,2022)</f>
        <v>183.9</v>
      </c>
      <c r="H13">
        <f>AVERAGEIFS('Cleaned data'!$O:$O,'Cleaned data'!$A:$A,"Rural+Urban",'Cleaned data'!$C:$C,"May",'Cleaned data'!$B:$B,2023)</f>
        <v>194.2</v>
      </c>
      <c r="I13">
        <f t="shared" si="1"/>
        <v>10.299999999999983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9F9C-12D8-4746-9D19-46BA00DF8DFB}">
  <dimension ref="A1:H4"/>
  <sheetViews>
    <sheetView workbookViewId="0">
      <selection activeCell="I9" sqref="I9"/>
    </sheetView>
  </sheetViews>
  <sheetFormatPr defaultRowHeight="15" x14ac:dyDescent="0.25"/>
  <cols>
    <col min="1" max="1" width="26.7109375" bestFit="1" customWidth="1"/>
    <col min="2" max="2" width="14.7109375" bestFit="1" customWidth="1"/>
    <col min="3" max="3" width="16.140625" bestFit="1" customWidth="1"/>
    <col min="4" max="4" width="17.5703125" bestFit="1" customWidth="1"/>
    <col min="5" max="5" width="14.5703125" bestFit="1" customWidth="1"/>
    <col min="6" max="6" width="16" bestFit="1" customWidth="1"/>
    <col min="7" max="7" width="17.28515625" bestFit="1" customWidth="1"/>
  </cols>
  <sheetData>
    <row r="1" spans="1:8" x14ac:dyDescent="0.25">
      <c r="A1" s="1" t="s">
        <v>77</v>
      </c>
      <c r="B1" s="1" t="s">
        <v>78</v>
      </c>
      <c r="C1" s="1" t="s">
        <v>79</v>
      </c>
      <c r="D1" s="1" t="s">
        <v>60</v>
      </c>
      <c r="E1" s="1" t="s">
        <v>83</v>
      </c>
      <c r="F1" s="1" t="s">
        <v>84</v>
      </c>
      <c r="G1" s="1" t="s">
        <v>85</v>
      </c>
      <c r="H1" s="1"/>
    </row>
    <row r="2" spans="1:8" x14ac:dyDescent="0.25">
      <c r="A2" t="s">
        <v>80</v>
      </c>
      <c r="B2">
        <f>AVERAGEIFS('Cleaned data'!$P:$P,'Cleaned data'!$A:$A,"Rural+Urban",'Cleaned data'!$B:$B,"&gt;="&amp;2017,'Cleaned data'!$B:$B,"&lt;="&amp;2019)</f>
        <v>140.10571428571424</v>
      </c>
      <c r="C2">
        <f>AVERAGEIFS('Cleaned data'!$X:$X,'Cleaned data'!$A:$A,"Rural+Urban",'Cleaned data'!$B:$B,"&gt;="&amp;2017,'Cleaned data'!$B:$B,"&lt;="&amp;2019)</f>
        <v>138.05142857142849</v>
      </c>
      <c r="D2">
        <f>AVERAGEIFS('Cleaned data'!$AD:$AD,'Cleaned data'!$A:$A,"Rural+Urban",'Cleaned data'!$B:$B,"&gt;="&amp;2017,'Cleaned data'!$B:$B,"&lt;="&amp;2019)</f>
        <v>138.66571428571433</v>
      </c>
    </row>
    <row r="3" spans="1:8" x14ac:dyDescent="0.25">
      <c r="A3" t="s">
        <v>81</v>
      </c>
      <c r="B3">
        <f>AVERAGEIFS('Cleaned data'!$P:$P,'Cleaned data'!$A:$A,"Rural+Urban",'Cleaned data'!$B:$B,2020)</f>
        <v>156.25454545454548</v>
      </c>
      <c r="C3">
        <f>AVERAGEIFS('Cleaned data'!$X:$X,'Cleaned data'!$A:$A,"Rural+Urban",'Cleaned data'!$B:$B,2020)</f>
        <v>154.28181818181815</v>
      </c>
      <c r="D3">
        <f>AVERAGEIFS('Cleaned data'!$AD:$AD,'Cleaned data'!$A:$A,"Rural+Urban",'Cleaned data'!$B:$B,2020)</f>
        <v>153.38000000000002</v>
      </c>
      <c r="E3">
        <f>ROUND((B3-B2)/B2*100,2)</f>
        <v>11.53</v>
      </c>
      <c r="F3">
        <f>ROUND((C3-C2)/C2*100,2)</f>
        <v>11.76</v>
      </c>
      <c r="G3">
        <f>ROUND((D3-D2)/D2*100,2)</f>
        <v>10.61</v>
      </c>
    </row>
    <row r="4" spans="1:8" x14ac:dyDescent="0.25">
      <c r="A4" t="s">
        <v>82</v>
      </c>
      <c r="B4">
        <f>AVERAGEIFS('Cleaned data'!$P:$P,'Cleaned data'!$A:$A,"Rural+Urban",'Cleaned data'!$B:$B,"&gt;="&amp;2021)</f>
        <v>169.79655172413797</v>
      </c>
      <c r="C4">
        <f>AVERAGEIFS('Cleaned data'!$X:$X,'Cleaned data'!$A:$A,"Rural+Urban",'Cleaned data'!$B:$B,"&gt;="&amp;2021)</f>
        <v>173.20689655172413</v>
      </c>
      <c r="D4">
        <f>AVERAGEIFS('Cleaned data'!$AD:$AD,'Cleaned data'!$A:$A,"Rural+Urban",'Cleaned data'!$B:$B,"&gt;="&amp;2021)</f>
        <v>168.66896551724136</v>
      </c>
      <c r="E4">
        <f>ROUND((B4-B2)/B2*100,2)</f>
        <v>21.19</v>
      </c>
      <c r="F4">
        <f>ROUND((C4-C2)/C2*100,2)</f>
        <v>25.47</v>
      </c>
      <c r="G4">
        <f>ROUND((D4-D2)/D2*100,2)</f>
        <v>21.64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5706-F1A4-46FE-BC05-2E5216C20A95}">
  <dimension ref="A1:K30"/>
  <sheetViews>
    <sheetView workbookViewId="0">
      <selection activeCell="F28" sqref="F28"/>
    </sheetView>
  </sheetViews>
  <sheetFormatPr defaultRowHeight="15" x14ac:dyDescent="0.25"/>
  <cols>
    <col min="1" max="1" width="10.7109375" bestFit="1" customWidth="1"/>
    <col min="2" max="2" width="5" bestFit="1" customWidth="1"/>
    <col min="3" max="3" width="17.28515625" bestFit="1" customWidth="1"/>
    <col min="4" max="4" width="15" bestFit="1" customWidth="1"/>
    <col min="6" max="6" width="27.85546875" bestFit="1" customWidth="1"/>
    <col min="7" max="7" width="20" bestFit="1" customWidth="1"/>
    <col min="10" max="10" width="18" bestFit="1" customWidth="1"/>
    <col min="11" max="11" width="12" bestFit="1" customWidth="1"/>
  </cols>
  <sheetData>
    <row r="1" spans="1:11" x14ac:dyDescent="0.25">
      <c r="A1" s="1" t="s">
        <v>2</v>
      </c>
      <c r="B1" s="1" t="s">
        <v>1</v>
      </c>
      <c r="C1" s="1" t="s">
        <v>86</v>
      </c>
      <c r="D1" s="1" t="s">
        <v>87</v>
      </c>
      <c r="F1" s="1" t="s">
        <v>88</v>
      </c>
      <c r="G1" s="1" t="s">
        <v>89</v>
      </c>
    </row>
    <row r="2" spans="1:11" x14ac:dyDescent="0.25">
      <c r="A2" t="s">
        <v>31</v>
      </c>
      <c r="B2">
        <v>2021</v>
      </c>
      <c r="C2">
        <f>AVERAGEIFS('Cleaned data'!$V:$V,'Cleaned data'!$A:$A,"Rural+Urban",'Cleaned data'!$C:$C,A2,'Cleaned data'!$B:$B,B2)</f>
        <v>147.9</v>
      </c>
      <c r="D2">
        <f>ROUND((C3-C2)/C2*100,2)</f>
        <v>3.04</v>
      </c>
      <c r="F2" t="s">
        <v>3</v>
      </c>
      <c r="G2">
        <f>CORREL($C$2:$C$30,AVERAGEIFS('Cleaned data'!$D:$D,'Cleaned data'!$A:$A,"Rural+Urban",'Cleaned data'!$B:$B,$B$2:$B$30,'Cleaned data'!$C:$C,$A$2:$A$30))</f>
        <v>0.90866975710010101</v>
      </c>
    </row>
    <row r="3" spans="1:11" x14ac:dyDescent="0.25">
      <c r="A3" t="s">
        <v>35</v>
      </c>
      <c r="B3">
        <v>2021</v>
      </c>
      <c r="C3">
        <f>AVERAGEIFS('Cleaned data'!$V:$V,'Cleaned data'!$A:$A,"Rural+Urban",'Cleaned data'!$C:$C,A3,'Cleaned data'!$B:$B,B3)</f>
        <v>152.4</v>
      </c>
      <c r="D3">
        <f t="shared" ref="D3:D29" si="0">ROUND((C4-C3)/C3*100,2)</f>
        <v>2.0299999999999998</v>
      </c>
      <c r="F3" t="s">
        <v>4</v>
      </c>
      <c r="G3">
        <f>CORREL($C$2:$C$30,AVERAGEIFS('Cleaned data'!$E:$E,'Cleaned data'!$A:$A,"Rural+Urban",'Cleaned data'!$B:$B,$B$2:$B$30,'Cleaned data'!$C:$C,$A$2:$A$30))</f>
        <v>0.80888750794374131</v>
      </c>
    </row>
    <row r="4" spans="1:11" x14ac:dyDescent="0.25">
      <c r="A4" t="s">
        <v>36</v>
      </c>
      <c r="B4">
        <v>2021</v>
      </c>
      <c r="C4">
        <f>AVERAGEIFS('Cleaned data'!$V:$V,'Cleaned data'!$A:$A,"Rural+Urban",'Cleaned data'!$C:$C,A4,'Cleaned data'!$B:$B,B4)</f>
        <v>155.5</v>
      </c>
      <c r="D4">
        <f t="shared" si="0"/>
        <v>0.06</v>
      </c>
      <c r="F4" t="s">
        <v>5</v>
      </c>
      <c r="G4">
        <f>CORREL($C$2:$C$30,AVERAGEIFS('Cleaned data'!$F:$F,'Cleaned data'!$A:$A,"Rural+Urban",'Cleaned data'!$B:$B,$B$2:$B$30,'Cleaned data'!$C:$C,$A$2:$A$30))</f>
        <v>0.24307342696775963</v>
      </c>
      <c r="J4" s="17" t="s">
        <v>92</v>
      </c>
      <c r="K4" s="17">
        <f>MAX(G2:G20)</f>
        <v>0.98708804417289042</v>
      </c>
    </row>
    <row r="5" spans="1:11" x14ac:dyDescent="0.25">
      <c r="A5" t="s">
        <v>37</v>
      </c>
      <c r="B5">
        <v>2021</v>
      </c>
      <c r="C5">
        <f>AVERAGEIFS('Cleaned data'!$V:$V,'Cleaned data'!$A:$A,"Rural+Urban",'Cleaned data'!$C:$C,A5,'Cleaned data'!$B:$B,B5)</f>
        <v>155.6</v>
      </c>
      <c r="D5">
        <f t="shared" si="0"/>
        <v>2.44</v>
      </c>
      <c r="F5" t="s">
        <v>6</v>
      </c>
      <c r="G5">
        <f>CORREL($C$2:$C$30,AVERAGEIFS('Cleaned data'!G:$G,'Cleaned data'!$A:$A,"Rural+Urban",'Cleaned data'!$B:$B,$B$2:$B$30,'Cleaned data'!$C:$C,$A$2:$A$30))</f>
        <v>0.94294073307985671</v>
      </c>
      <c r="J5" s="18" t="s">
        <v>93</v>
      </c>
      <c r="K5" s="18" t="str">
        <f>INDEX(F2:F20,MATCH(MAX(G2:G20),G2:G20,0))</f>
        <v>Footwear</v>
      </c>
    </row>
    <row r="6" spans="1:11" x14ac:dyDescent="0.25">
      <c r="A6" t="s">
        <v>38</v>
      </c>
      <c r="B6">
        <v>2021</v>
      </c>
      <c r="C6">
        <f>AVERAGEIFS('Cleaned data'!$V:$V,'Cleaned data'!$A:$A,"Rural+Urban",'Cleaned data'!$C:$C,A6,'Cleaned data'!$B:$B,B6)</f>
        <v>159.4</v>
      </c>
      <c r="D6">
        <f t="shared" si="0"/>
        <v>0.25</v>
      </c>
      <c r="F6" t="s">
        <v>7</v>
      </c>
      <c r="G6">
        <f>CORREL($C$2:$C$30,AVERAGEIFS('Cleaned data'!$H:$H,'Cleaned data'!$A:$A,"Rural+Urban",'Cleaned data'!$B:$B,$B$2:$B$30,'Cleaned data'!$C:$C,$A$2:$A$30))</f>
        <v>0.48930201421046005</v>
      </c>
    </row>
    <row r="7" spans="1:11" x14ac:dyDescent="0.25">
      <c r="A7" t="s">
        <v>39</v>
      </c>
      <c r="B7">
        <v>2021</v>
      </c>
      <c r="C7">
        <f>AVERAGEIFS('Cleaned data'!$V:$V,'Cleaned data'!$A:$A,"Rural+Urban",'Cleaned data'!$C:$C,A7,'Cleaned data'!$B:$B,B7)</f>
        <v>159.80000000000001</v>
      </c>
      <c r="D7">
        <f t="shared" si="0"/>
        <v>0.56000000000000005</v>
      </c>
      <c r="F7" t="s">
        <v>8</v>
      </c>
      <c r="G7">
        <f>CORREL($C$2:$C$30,AVERAGEIFS('Cleaned data'!$I:$I,'Cleaned data'!$A:$A,"Rural+Urban",'Cleaned data'!$B:$B,$B$2:$B$30,'Cleaned data'!$C:$C,$A$2:$A$30))</f>
        <v>0.63933552547578754</v>
      </c>
    </row>
    <row r="8" spans="1:11" x14ac:dyDescent="0.25">
      <c r="A8" t="s">
        <v>40</v>
      </c>
      <c r="B8">
        <v>2021</v>
      </c>
      <c r="C8">
        <f>AVERAGEIFS('Cleaned data'!$V:$V,'Cleaned data'!$A:$A,"Rural+Urban",'Cleaned data'!$C:$C,A8,'Cleaned data'!$B:$B,B8)</f>
        <v>160.69999999999999</v>
      </c>
      <c r="D8">
        <f t="shared" si="0"/>
        <v>1.18</v>
      </c>
      <c r="F8" t="s">
        <v>9</v>
      </c>
      <c r="G8">
        <f>CORREL($C$2:$C$30,AVERAGEIFS('Cleaned data'!$J:$J,'Cleaned data'!$A:$A,"Rural+Urban",'Cleaned data'!$B:$B,$B$2:$B$30,'Cleaned data'!$C:$C,$A$2:$A$30))</f>
        <v>9.6863147322166804E-2</v>
      </c>
    </row>
    <row r="9" spans="1:11" x14ac:dyDescent="0.25">
      <c r="A9" t="s">
        <v>41</v>
      </c>
      <c r="B9">
        <v>2021</v>
      </c>
      <c r="C9">
        <f>AVERAGEIFS('Cleaned data'!$V:$V,'Cleaned data'!$A:$A,"Rural+Urban",'Cleaned data'!$C:$C,A9,'Cleaned data'!$B:$B,B9)</f>
        <v>162.6</v>
      </c>
      <c r="D9">
        <f t="shared" si="0"/>
        <v>0</v>
      </c>
      <c r="F9" t="s">
        <v>10</v>
      </c>
      <c r="G9">
        <f>CORREL($C$2:$C$30,AVERAGEIFS('Cleaned data'!$K:$K,'Cleaned data'!$A:$A,"Rural+Urban",'Cleaned data'!$B:$B,$B$2:$B$30,'Cleaned data'!$C:$C,$A$2:$A$30))</f>
        <v>0.84989929800426356</v>
      </c>
    </row>
    <row r="10" spans="1:11" x14ac:dyDescent="0.25">
      <c r="A10" t="s">
        <v>42</v>
      </c>
      <c r="B10">
        <v>2021</v>
      </c>
      <c r="C10">
        <f>AVERAGEIFS('Cleaned data'!$V:$V,'Cleaned data'!$A:$A,"Rural+Urban",'Cleaned data'!$C:$C,A10,'Cleaned data'!$B:$B,B10)</f>
        <v>162.6</v>
      </c>
      <c r="D10">
        <f t="shared" si="0"/>
        <v>0.98</v>
      </c>
      <c r="F10" t="s">
        <v>11</v>
      </c>
      <c r="G10">
        <f>CORREL($C$2:$C$30,AVERAGEIFS('Cleaned data'!$L:$L,'Cleaned data'!$A:$A,"Rural+Urban",'Cleaned data'!$B:$B,$B$2:$B$30,'Cleaned data'!$C:$C,$A$2:$A$30))</f>
        <v>0.77078710371910275</v>
      </c>
    </row>
    <row r="11" spans="1:11" x14ac:dyDescent="0.25">
      <c r="A11" t="s">
        <v>43</v>
      </c>
      <c r="B11">
        <v>2021</v>
      </c>
      <c r="C11">
        <f>AVERAGEIFS('Cleaned data'!$V:$V,'Cleaned data'!$A:$A,"Rural+Urban",'Cleaned data'!$C:$C,A11,'Cleaned data'!$B:$B,B11)</f>
        <v>164.2</v>
      </c>
      <c r="D11">
        <f t="shared" si="0"/>
        <v>-0.18</v>
      </c>
      <c r="F11" t="s">
        <v>12</v>
      </c>
      <c r="G11">
        <f>CORREL($C$2:$C$30,AVERAGEIFS('Cleaned data'!$M:$M,'Cleaned data'!$A:$A,"Rural+Urban",'Cleaned data'!$B:$B,$B$2:$B$30,'Cleaned data'!$C:$C,$A$2:$A$30))</f>
        <v>0.93896615084544477</v>
      </c>
    </row>
    <row r="12" spans="1:11" x14ac:dyDescent="0.25">
      <c r="A12" t="s">
        <v>45</v>
      </c>
      <c r="B12">
        <v>2021</v>
      </c>
      <c r="C12">
        <f>AVERAGEIFS('Cleaned data'!$V:$V,'Cleaned data'!$A:$A,"Rural+Urban",'Cleaned data'!$C:$C,A12,'Cleaned data'!$B:$B,B12)</f>
        <v>163.9</v>
      </c>
      <c r="D12">
        <f t="shared" si="0"/>
        <v>0.12</v>
      </c>
      <c r="F12" t="s">
        <v>13</v>
      </c>
      <c r="G12">
        <f>CORREL($C$2:$C$30,AVERAGEIFS('Cleaned data'!$N:$N,'Cleaned data'!$A:$A,"Rural+Urban",'Cleaned data'!$B:$B,$B$2:$B$30,'Cleaned data'!$C:$C,$A$2:$A$30))</f>
        <v>0.97878577086812479</v>
      </c>
    </row>
    <row r="13" spans="1:11" x14ac:dyDescent="0.25">
      <c r="A13" t="s">
        <v>46</v>
      </c>
      <c r="B13">
        <v>2021</v>
      </c>
      <c r="C13">
        <f>AVERAGEIFS('Cleaned data'!$V:$V,'Cleaned data'!$A:$A,"Rural+Urban",'Cleaned data'!$C:$C,A13,'Cleaned data'!$B:$B,B13)</f>
        <v>164.1</v>
      </c>
      <c r="D13">
        <f t="shared" si="0"/>
        <v>0.06</v>
      </c>
      <c r="F13" t="s">
        <v>90</v>
      </c>
      <c r="G13">
        <f>CORREL($C$2:$C$30,AVERAGEIFS('Cleaned data'!$O:$O,'Cleaned data'!$A:$A,"Rural+Urban",'Cleaned data'!$B:$B,$B$2:$B$30,'Cleaned data'!$C:$C,$A$2:$A$30))</f>
        <v>0.98227979087392592</v>
      </c>
    </row>
    <row r="14" spans="1:11" x14ac:dyDescent="0.25">
      <c r="A14" t="s">
        <v>31</v>
      </c>
      <c r="B14">
        <v>2022</v>
      </c>
      <c r="C14">
        <f>AVERAGEIFS('Cleaned data'!$V:$V,'Cleaned data'!$A:$A,"Rural+Urban",'Cleaned data'!$C:$C,A14,'Cleaned data'!$B:$B,B14)</f>
        <v>164.2</v>
      </c>
      <c r="D14">
        <f t="shared" si="0"/>
        <v>0.91</v>
      </c>
      <c r="F14" t="s">
        <v>91</v>
      </c>
      <c r="G14">
        <f>CORREL($C$2:$C$30,AVERAGEIFS('Cleaned data'!$Q:$Q,'Cleaned data'!$A:$A,"Rural+Urban",'Cleaned data'!$B:$B,$B$2:$B$30,'Cleaned data'!$C:$C,$A$2:$A$30))</f>
        <v>0.93979244095169767</v>
      </c>
    </row>
    <row r="15" spans="1:11" x14ac:dyDescent="0.25">
      <c r="A15" t="s">
        <v>35</v>
      </c>
      <c r="B15">
        <v>2022</v>
      </c>
      <c r="C15">
        <f>AVERAGEIFS('Cleaned data'!$V:$V,'Cleaned data'!$A:$A,"Rural+Urban",'Cleaned data'!$C:$C,A15,'Cleaned data'!$B:$B,B15)</f>
        <v>165.7</v>
      </c>
      <c r="D15">
        <f t="shared" si="0"/>
        <v>0.91</v>
      </c>
      <c r="F15" t="s">
        <v>17</v>
      </c>
      <c r="G15">
        <f>CORREL($C$2:$C$30,AVERAGEIFS('Cleaned data'!$R:$R,'Cleaned data'!$A:$A,"Rural+Urban",'Cleaned data'!$B:$B,$B$2:$B$30,'Cleaned data'!$C:$C,$A$2:$A$30))</f>
        <v>0.98511497592725472</v>
      </c>
    </row>
    <row r="16" spans="1:11" x14ac:dyDescent="0.25">
      <c r="A16" t="s">
        <v>36</v>
      </c>
      <c r="B16">
        <v>2022</v>
      </c>
      <c r="C16">
        <f>AVERAGEIFS('Cleaned data'!$V:$V,'Cleaned data'!$A:$A,"Rural+Urban",'Cleaned data'!$C:$C,A16,'Cleaned data'!$B:$B,B16)</f>
        <v>167.2</v>
      </c>
      <c r="D16">
        <f t="shared" si="0"/>
        <v>2.99</v>
      </c>
      <c r="F16" t="s">
        <v>18</v>
      </c>
      <c r="G16">
        <f>CORREL($C$2:$C$30,AVERAGEIFS('Cleaned data'!$S:$S,'Cleaned data'!$A:$A,"Rural+Urban",'Cleaned data'!$B:$B,$B$2:$B$30,'Cleaned data'!$C:$C,$A$2:$A$30))</f>
        <v>0.98708804417289042</v>
      </c>
    </row>
    <row r="17" spans="1:7" x14ac:dyDescent="0.25">
      <c r="A17" t="s">
        <v>37</v>
      </c>
      <c r="B17">
        <v>2022</v>
      </c>
      <c r="C17">
        <f>AVERAGEIFS('Cleaned data'!$V:$V,'Cleaned data'!$A:$A,"Rural+Urban",'Cleaned data'!$C:$C,A17,'Cleaned data'!$B:$B,B17)</f>
        <v>172.2</v>
      </c>
      <c r="D17">
        <f t="shared" si="0"/>
        <v>1.39</v>
      </c>
      <c r="F17" t="s">
        <v>23</v>
      </c>
      <c r="G17">
        <f>CORREL($C$2:$C$30,AVERAGEIFS('Cleaned data'!$X:$X,'Cleaned data'!$A:$A,"Rural+Urban",'Cleaned data'!$B:$B,$B$2:$B$30,'Cleaned data'!$C:$C,$A$2:$A$30))</f>
        <v>0.96917345703015834</v>
      </c>
    </row>
    <row r="18" spans="1:7" x14ac:dyDescent="0.25">
      <c r="A18" t="s">
        <v>38</v>
      </c>
      <c r="B18">
        <v>2022</v>
      </c>
      <c r="C18">
        <f>AVERAGEIFS('Cleaned data'!$V:$V,'Cleaned data'!$A:$A,"Rural+Urban",'Cleaned data'!$C:$C,A18,'Cleaned data'!$B:$B,B18)</f>
        <v>174.6</v>
      </c>
      <c r="D18">
        <f t="shared" si="0"/>
        <v>0.8</v>
      </c>
      <c r="F18" t="s">
        <v>24</v>
      </c>
      <c r="G18">
        <f>CORREL($C$2:$C$30,AVERAGEIFS('Cleaned data'!$Y:$Y,'Cleaned data'!$A:$A,"Rural+Urban",'Cleaned data'!$B:$B,$B$2:$B$30,'Cleaned data'!$C:$C,$A$2:$A$30))</f>
        <v>0.96707995712942674</v>
      </c>
    </row>
    <row r="19" spans="1:7" x14ac:dyDescent="0.25">
      <c r="A19" t="s">
        <v>39</v>
      </c>
      <c r="B19">
        <v>2022</v>
      </c>
      <c r="C19">
        <f>AVERAGEIFS('Cleaned data'!$V:$V,'Cleaned data'!$A:$A,"Rural+Urban",'Cleaned data'!$C:$C,A19,'Cleaned data'!$B:$B,B19)</f>
        <v>176</v>
      </c>
      <c r="D19">
        <f t="shared" si="0"/>
        <v>2.0499999999999998</v>
      </c>
      <c r="F19" t="s">
        <v>26</v>
      </c>
      <c r="G19">
        <f>CORREL($C$2:$C$30,AVERAGEIFS('Cleaned data'!$Z:$Z,'Cleaned data'!$A:$A,"Rural+Urban",'Cleaned data'!$B:$B,$B$2:$B$30,'Cleaned data'!$C:$C,$A$2:$A$30))</f>
        <v>0.98447620936103708</v>
      </c>
    </row>
    <row r="20" spans="1:7" x14ac:dyDescent="0.25">
      <c r="A20" t="s">
        <v>40</v>
      </c>
      <c r="B20">
        <v>2022</v>
      </c>
      <c r="C20">
        <f>AVERAGEIFS('Cleaned data'!$V:$V,'Cleaned data'!$A:$A,"Rural+Urban",'Cleaned data'!$C:$C,A20,'Cleaned data'!$B:$B,B20)</f>
        <v>179.6</v>
      </c>
      <c r="D20">
        <f t="shared" si="0"/>
        <v>-0.45</v>
      </c>
      <c r="F20" t="s">
        <v>28</v>
      </c>
      <c r="G20">
        <f>CORREL($C$2:$C$30,AVERAGEIFS('Cleaned data'!$AC:$AC,'Cleaned data'!$A:$A,"Rural+Urban",'Cleaned data'!$B:$B,$B$2:$B$30,'Cleaned data'!$C:$C,$A$2:$A$30))</f>
        <v>0.98253256392256361</v>
      </c>
    </row>
    <row r="21" spans="1:7" x14ac:dyDescent="0.25">
      <c r="A21" t="s">
        <v>41</v>
      </c>
      <c r="B21">
        <v>2022</v>
      </c>
      <c r="C21">
        <f>AVERAGEIFS('Cleaned data'!$V:$V,'Cleaned data'!$A:$A,"Rural+Urban",'Cleaned data'!$C:$C,A21,'Cleaned data'!$B:$B,B21)</f>
        <v>178.8</v>
      </c>
      <c r="D21">
        <f t="shared" si="0"/>
        <v>0.39</v>
      </c>
    </row>
    <row r="22" spans="1:7" x14ac:dyDescent="0.25">
      <c r="A22" t="s">
        <v>42</v>
      </c>
      <c r="B22">
        <v>2022</v>
      </c>
      <c r="C22">
        <f>AVERAGEIFS('Cleaned data'!$V:$V,'Cleaned data'!$A:$A,"Rural+Urban",'Cleaned data'!$C:$C,A22,'Cleaned data'!$B:$B,B22)</f>
        <v>179.5</v>
      </c>
      <c r="D22">
        <f t="shared" si="0"/>
        <v>0.56000000000000005</v>
      </c>
    </row>
    <row r="23" spans="1:7" x14ac:dyDescent="0.25">
      <c r="A23" t="s">
        <v>43</v>
      </c>
      <c r="B23">
        <v>2022</v>
      </c>
      <c r="C23">
        <f>AVERAGEIFS('Cleaned data'!$V:$V,'Cleaned data'!$A:$A,"Rural+Urban",'Cleaned data'!$C:$C,A23,'Cleaned data'!$B:$B,B23)</f>
        <v>180.5</v>
      </c>
      <c r="D23">
        <f t="shared" si="0"/>
        <v>0.44</v>
      </c>
    </row>
    <row r="24" spans="1:7" x14ac:dyDescent="0.25">
      <c r="A24" t="s">
        <v>45</v>
      </c>
      <c r="B24">
        <v>2022</v>
      </c>
      <c r="C24">
        <f>AVERAGEIFS('Cleaned data'!$V:$V,'Cleaned data'!$A:$A,"Rural+Urban",'Cleaned data'!$C:$C,A24,'Cleaned data'!$B:$B,B24)</f>
        <v>181.3</v>
      </c>
      <c r="D24">
        <f t="shared" si="0"/>
        <v>0.39</v>
      </c>
    </row>
    <row r="25" spans="1:7" x14ac:dyDescent="0.25">
      <c r="A25" t="s">
        <v>46</v>
      </c>
      <c r="B25">
        <v>2022</v>
      </c>
      <c r="C25">
        <f>AVERAGEIFS('Cleaned data'!$V:$V,'Cleaned data'!$A:$A,"Rural+Urban",'Cleaned data'!$C:$C,A25,'Cleaned data'!$B:$B,B25)</f>
        <v>182</v>
      </c>
      <c r="D25">
        <f t="shared" si="0"/>
        <v>0</v>
      </c>
    </row>
    <row r="26" spans="1:7" x14ac:dyDescent="0.25">
      <c r="A26" t="s">
        <v>31</v>
      </c>
      <c r="B26">
        <v>2023</v>
      </c>
      <c r="C26">
        <f>AVERAGEIFS('Cleaned data'!$V:$V,'Cleaned data'!$A:$A,"Rural+Urban",'Cleaned data'!$C:$C,A26,'Cleaned data'!$B:$B,B26)</f>
        <v>182</v>
      </c>
      <c r="D26">
        <f t="shared" si="0"/>
        <v>0.05</v>
      </c>
    </row>
    <row r="27" spans="1:7" x14ac:dyDescent="0.25">
      <c r="A27" t="s">
        <v>35</v>
      </c>
      <c r="B27">
        <v>2023</v>
      </c>
      <c r="C27">
        <f>AVERAGEIFS('Cleaned data'!$V:$V,'Cleaned data'!$A:$A,"Rural+Urban",'Cleaned data'!$C:$C,A27,'Cleaned data'!$B:$B,B27)</f>
        <v>182.1</v>
      </c>
      <c r="D27">
        <f t="shared" si="0"/>
        <v>-0.11</v>
      </c>
    </row>
    <row r="28" spans="1:7" x14ac:dyDescent="0.25">
      <c r="A28" t="s">
        <v>36</v>
      </c>
      <c r="B28">
        <v>2023</v>
      </c>
      <c r="C28">
        <f>AVERAGEIFS('Cleaned data'!$V:$V,'Cleaned data'!$A:$A,"Rural+Urban",'Cleaned data'!$C:$C,A28,'Cleaned data'!$B:$B,B28)</f>
        <v>181.9</v>
      </c>
      <c r="D28">
        <f t="shared" si="0"/>
        <v>-0.11</v>
      </c>
    </row>
    <row r="29" spans="1:7" x14ac:dyDescent="0.25">
      <c r="A29" t="s">
        <v>37</v>
      </c>
      <c r="B29">
        <v>2023</v>
      </c>
      <c r="C29">
        <f>AVERAGEIFS('Cleaned data'!$V:$V,'Cleaned data'!$A:$A,"Rural+Urban",'Cleaned data'!$C:$C,A29,'Cleaned data'!$B:$B,B29)</f>
        <v>181.7</v>
      </c>
      <c r="D29">
        <f t="shared" si="0"/>
        <v>0.61</v>
      </c>
    </row>
    <row r="30" spans="1:7" x14ac:dyDescent="0.25">
      <c r="A30" t="s">
        <v>38</v>
      </c>
      <c r="B30">
        <v>2023</v>
      </c>
      <c r="C30">
        <f>AVERAGEIFS('Cleaned data'!$V:$V,'Cleaned data'!$A:$A,"Rural+Urban",'Cleaned data'!$C:$C,A30,'Cleaned data'!$B:$B,B30)</f>
        <v>182.8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All_India_Index_Upto_April23 (1</vt:lpstr>
      <vt:lpstr>Cleaned data</vt:lpstr>
      <vt:lpstr>Category mapping</vt:lpstr>
      <vt:lpstr>broader category cont. Analysis</vt:lpstr>
      <vt:lpstr>Y-O-Y Analysis</vt:lpstr>
      <vt:lpstr>Food Trend Analysis</vt:lpstr>
      <vt:lpstr>COVID Impact Analysis</vt:lpstr>
      <vt:lpstr>Oil Price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</cp:lastModifiedBy>
  <dcterms:created xsi:type="dcterms:W3CDTF">2026-04-06T10:47:50Z</dcterms:created>
  <dcterms:modified xsi:type="dcterms:W3CDTF">2026-04-21T12:10:27Z</dcterms:modified>
</cp:coreProperties>
</file>